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\\Datos\Usuarios\t09ivall\Datos\Documents\tragsatec\control_horas\"/>
    </mc:Choice>
  </mc:AlternateContent>
  <xr:revisionPtr revIDLastSave="0" documentId="13_ncr:1_{5E59687C-5EDE-4BBC-BA3E-EC42AA57EB42}" xr6:coauthVersionLast="36" xr6:coauthVersionMax="36" xr10:uidLastSave="{00000000-0000-0000-0000-000000000000}"/>
  <bookViews>
    <workbookView xWindow="0" yWindow="0" windowWidth="21570" windowHeight="7980" tabRatio="596" xr2:uid="{00000000-000D-0000-FFFF-FFFF00000000}"/>
  </bookViews>
  <sheets>
    <sheet name="2026" sheetId="14" r:id="rId1"/>
    <sheet name="2005" sheetId="6" r:id="rId2"/>
    <sheet name="2024" sheetId="13" r:id="rId3"/>
    <sheet name="guardia y +1" sheetId="10" r:id="rId4"/>
    <sheet name="+2 y +3" sheetId="11" r:id="rId5"/>
    <sheet name="Personal" sheetId="12" r:id="rId6"/>
  </sheets>
  <definedNames>
    <definedName name="_xlnm._FilterDatabase" localSheetId="1" hidden="1">'2005'!$A$11:$P$376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4" l="1"/>
  <c r="H17" i="14"/>
  <c r="H18" i="14"/>
  <c r="H19" i="14"/>
  <c r="H20" i="14"/>
  <c r="M20" i="14" s="1"/>
  <c r="H21" i="14"/>
  <c r="M21" i="14" s="1"/>
  <c r="M22" i="14"/>
  <c r="M23" i="14"/>
  <c r="H24" i="14"/>
  <c r="H25" i="14"/>
  <c r="H26" i="14"/>
  <c r="H27" i="14"/>
  <c r="H28" i="14"/>
  <c r="H13" i="14"/>
  <c r="M13" i="14"/>
  <c r="M17" i="14"/>
  <c r="M18" i="14"/>
  <c r="M19" i="14"/>
  <c r="M24" i="14"/>
  <c r="N24" i="14" s="1"/>
  <c r="O24" i="14" s="1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N66" i="14" s="1"/>
  <c r="O66" i="14" s="1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N94" i="14" s="1"/>
  <c r="P94" i="14" s="1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N136" i="14" s="1"/>
  <c r="O136" i="14" s="1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N192" i="14" s="1"/>
  <c r="O192" i="14" s="1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N206" i="14" s="1"/>
  <c r="O206" i="14" s="1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N276" i="14" s="1"/>
  <c r="O276" i="14" s="1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N346" i="14" s="1"/>
  <c r="O346" i="14" s="1"/>
  <c r="M347" i="14"/>
  <c r="M348" i="14"/>
  <c r="M349" i="14"/>
  <c r="M350" i="14"/>
  <c r="M351" i="14"/>
  <c r="M352" i="14"/>
  <c r="M353" i="14"/>
  <c r="N353" i="14" s="1"/>
  <c r="O353" i="14" s="1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N374" i="14" s="1"/>
  <c r="O374" i="14" s="1"/>
  <c r="M375" i="14"/>
  <c r="M376" i="14"/>
  <c r="M377" i="14"/>
  <c r="M15" i="14"/>
  <c r="M16" i="14"/>
  <c r="O311" i="14"/>
  <c r="O304" i="14"/>
  <c r="O269" i="14"/>
  <c r="O178" i="14"/>
  <c r="O108" i="14"/>
  <c r="O52" i="14"/>
  <c r="N290" i="14"/>
  <c r="O290" i="14" s="1"/>
  <c r="N297" i="14"/>
  <c r="O297" i="14" s="1"/>
  <c r="N304" i="14"/>
  <c r="N311" i="14"/>
  <c r="N318" i="14"/>
  <c r="P318" i="14" s="1"/>
  <c r="N325" i="14"/>
  <c r="O325" i="14" s="1"/>
  <c r="N332" i="14"/>
  <c r="O332" i="14" s="1"/>
  <c r="N339" i="14"/>
  <c r="O339" i="14" s="1"/>
  <c r="N360" i="14"/>
  <c r="O360" i="14" s="1"/>
  <c r="N367" i="14"/>
  <c r="O367" i="14" s="1"/>
  <c r="N262" i="14"/>
  <c r="O262" i="14" s="1"/>
  <c r="N269" i="14"/>
  <c r="N283" i="14"/>
  <c r="O283" i="14" s="1"/>
  <c r="N185" i="14"/>
  <c r="O185" i="14" s="1"/>
  <c r="N199" i="14"/>
  <c r="O199" i="14" s="1"/>
  <c r="N213" i="14"/>
  <c r="O213" i="14" s="1"/>
  <c r="N220" i="14"/>
  <c r="O220" i="14" s="1"/>
  <c r="N227" i="14"/>
  <c r="P227" i="14" s="1"/>
  <c r="N248" i="14"/>
  <c r="O248" i="14" s="1"/>
  <c r="N255" i="14"/>
  <c r="O255" i="14" s="1"/>
  <c r="N31" i="14"/>
  <c r="O31" i="14" s="1"/>
  <c r="N38" i="14"/>
  <c r="O38" i="14" s="1"/>
  <c r="N45" i="14"/>
  <c r="P45" i="14" s="1"/>
  <c r="N52" i="14"/>
  <c r="N59" i="14"/>
  <c r="O59" i="14" s="1"/>
  <c r="N65" i="14"/>
  <c r="N73" i="14"/>
  <c r="P73" i="14" s="1"/>
  <c r="N79" i="14"/>
  <c r="N80" i="14"/>
  <c r="O80" i="14" s="1"/>
  <c r="N87" i="14"/>
  <c r="O87" i="14" s="1"/>
  <c r="N101" i="14"/>
  <c r="O101" i="14" s="1"/>
  <c r="N108" i="14"/>
  <c r="N115" i="14"/>
  <c r="O115" i="14" s="1"/>
  <c r="N122" i="14"/>
  <c r="O122" i="14" s="1"/>
  <c r="N129" i="14"/>
  <c r="O129" i="14" s="1"/>
  <c r="N135" i="14"/>
  <c r="N164" i="14"/>
  <c r="P164" i="14" s="1"/>
  <c r="N171" i="14"/>
  <c r="O171" i="14" s="1"/>
  <c r="O172" i="14" s="1"/>
  <c r="N172" i="14"/>
  <c r="N173" i="14"/>
  <c r="N178" i="14"/>
  <c r="N17" i="14"/>
  <c r="O17" i="14" s="1"/>
  <c r="H31" i="14"/>
  <c r="H38" i="14"/>
  <c r="H40" i="14"/>
  <c r="H42" i="14"/>
  <c r="H45" i="14"/>
  <c r="H52" i="14"/>
  <c r="H56" i="14"/>
  <c r="H59" i="14"/>
  <c r="H65" i="14"/>
  <c r="H66" i="14"/>
  <c r="H68" i="14"/>
  <c r="H73" i="14"/>
  <c r="H79" i="14"/>
  <c r="H80" i="14"/>
  <c r="H87" i="14"/>
  <c r="H89" i="14"/>
  <c r="H94" i="14"/>
  <c r="H101" i="14"/>
  <c r="H105" i="14"/>
  <c r="H108" i="14"/>
  <c r="H115" i="14"/>
  <c r="H122" i="14"/>
  <c r="H129" i="14"/>
  <c r="H134" i="14"/>
  <c r="H135" i="14"/>
  <c r="H136" i="14"/>
  <c r="H139" i="14"/>
  <c r="H143" i="14"/>
  <c r="N143" i="14" s="1"/>
  <c r="O143" i="14" s="1"/>
  <c r="H146" i="14"/>
  <c r="H150" i="14"/>
  <c r="N150" i="14" s="1"/>
  <c r="H157" i="14"/>
  <c r="N157" i="14" s="1"/>
  <c r="H158" i="14"/>
  <c r="H160" i="14"/>
  <c r="H164" i="14"/>
  <c r="H171" i="14"/>
  <c r="H174" i="14"/>
  <c r="H178" i="14"/>
  <c r="H185" i="14"/>
  <c r="H188" i="14"/>
  <c r="H192" i="14"/>
  <c r="H199" i="14"/>
  <c r="H202" i="14"/>
  <c r="H206" i="14"/>
  <c r="H213" i="14"/>
  <c r="H216" i="14"/>
  <c r="H220" i="14"/>
  <c r="H224" i="14"/>
  <c r="H227" i="14"/>
  <c r="H230" i="14"/>
  <c r="N230" i="14" s="1"/>
  <c r="H234" i="14"/>
  <c r="N234" i="14" s="1"/>
  <c r="O234" i="14" s="1"/>
  <c r="H241" i="14"/>
  <c r="N241" i="14" s="1"/>
  <c r="H242" i="14"/>
  <c r="N242" i="14" s="1"/>
  <c r="H244" i="14"/>
  <c r="N244" i="14" s="1"/>
  <c r="H248" i="14"/>
  <c r="H255" i="14"/>
  <c r="H257" i="14"/>
  <c r="H262" i="14"/>
  <c r="H269" i="14"/>
  <c r="H270" i="14"/>
  <c r="H272" i="14"/>
  <c r="H276" i="14"/>
  <c r="H283" i="14"/>
  <c r="H286" i="14"/>
  <c r="H290" i="14"/>
  <c r="H292" i="14"/>
  <c r="H297" i="14"/>
  <c r="H300" i="14"/>
  <c r="H304" i="14"/>
  <c r="H307" i="14"/>
  <c r="H311" i="14"/>
  <c r="H314" i="14"/>
  <c r="H318" i="14"/>
  <c r="H325" i="14"/>
  <c r="H326" i="14"/>
  <c r="H328" i="14"/>
  <c r="H332" i="14"/>
  <c r="H339" i="14"/>
  <c r="H340" i="14"/>
  <c r="H341" i="14"/>
  <c r="H342" i="14"/>
  <c r="H346" i="14"/>
  <c r="H353" i="14"/>
  <c r="H355" i="14"/>
  <c r="H356" i="14"/>
  <c r="H360" i="14"/>
  <c r="H361" i="14"/>
  <c r="H367" i="14"/>
  <c r="H369" i="14"/>
  <c r="H370" i="14"/>
  <c r="H374" i="14"/>
  <c r="H377" i="14"/>
  <c r="K18" i="14"/>
  <c r="K19" i="14"/>
  <c r="K20" i="14"/>
  <c r="K21" i="14"/>
  <c r="K24" i="14"/>
  <c r="K25" i="14"/>
  <c r="K26" i="14"/>
  <c r="K27" i="14"/>
  <c r="K28" i="14"/>
  <c r="K31" i="14"/>
  <c r="K32" i="14"/>
  <c r="K33" i="14"/>
  <c r="K34" i="14"/>
  <c r="K35" i="14"/>
  <c r="K38" i="14"/>
  <c r="K39" i="14"/>
  <c r="K40" i="14"/>
  <c r="K41" i="14"/>
  <c r="K42" i="14"/>
  <c r="K45" i="14"/>
  <c r="K46" i="14"/>
  <c r="K47" i="14"/>
  <c r="K48" i="14"/>
  <c r="K49" i="14"/>
  <c r="K52" i="14"/>
  <c r="K53" i="14"/>
  <c r="K54" i="14"/>
  <c r="K55" i="14"/>
  <c r="K56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7" i="14"/>
  <c r="K88" i="14"/>
  <c r="K89" i="14"/>
  <c r="K90" i="14"/>
  <c r="K91" i="14"/>
  <c r="K94" i="14"/>
  <c r="K95" i="14"/>
  <c r="K96" i="14"/>
  <c r="K97" i="14"/>
  <c r="K98" i="14"/>
  <c r="K101" i="14"/>
  <c r="K102" i="14"/>
  <c r="K103" i="14"/>
  <c r="K104" i="14"/>
  <c r="K105" i="14"/>
  <c r="K108" i="14"/>
  <c r="K109" i="14"/>
  <c r="K110" i="14"/>
  <c r="K111" i="14"/>
  <c r="K112" i="14"/>
  <c r="K115" i="14"/>
  <c r="K116" i="14"/>
  <c r="K117" i="14"/>
  <c r="K118" i="14"/>
  <c r="K119" i="14"/>
  <c r="K122" i="14"/>
  <c r="K123" i="14"/>
  <c r="K124" i="14"/>
  <c r="K125" i="14"/>
  <c r="K126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3" i="14"/>
  <c r="K144" i="14"/>
  <c r="K145" i="14"/>
  <c r="K146" i="14"/>
  <c r="K147" i="14"/>
  <c r="K150" i="14"/>
  <c r="K151" i="14"/>
  <c r="K152" i="14"/>
  <c r="K153" i="14"/>
  <c r="K154" i="14"/>
  <c r="K157" i="14"/>
  <c r="K158" i="14"/>
  <c r="K159" i="14"/>
  <c r="K160" i="14"/>
  <c r="K161" i="14"/>
  <c r="K164" i="14"/>
  <c r="K165" i="14"/>
  <c r="K166" i="14"/>
  <c r="K167" i="14"/>
  <c r="K168" i="14"/>
  <c r="K171" i="14"/>
  <c r="K172" i="14"/>
  <c r="K173" i="14"/>
  <c r="K174" i="14"/>
  <c r="K175" i="14"/>
  <c r="K178" i="14"/>
  <c r="K179" i="14"/>
  <c r="K180" i="14"/>
  <c r="K181" i="14"/>
  <c r="K182" i="14"/>
  <c r="K185" i="14"/>
  <c r="K186" i="14"/>
  <c r="K187" i="14"/>
  <c r="K188" i="14"/>
  <c r="K189" i="14"/>
  <c r="K192" i="14"/>
  <c r="K193" i="14"/>
  <c r="K194" i="14"/>
  <c r="K195" i="14"/>
  <c r="K196" i="14"/>
  <c r="K199" i="14"/>
  <c r="K200" i="14"/>
  <c r="K201" i="14"/>
  <c r="K202" i="14"/>
  <c r="K203" i="14"/>
  <c r="K206" i="14"/>
  <c r="K207" i="14"/>
  <c r="K208" i="14"/>
  <c r="K209" i="14"/>
  <c r="K210" i="14"/>
  <c r="K213" i="14"/>
  <c r="K214" i="14"/>
  <c r="K215" i="14"/>
  <c r="K216" i="14"/>
  <c r="K217" i="14"/>
  <c r="K220" i="14"/>
  <c r="K221" i="14"/>
  <c r="K222" i="14"/>
  <c r="K223" i="14"/>
  <c r="K224" i="14"/>
  <c r="K227" i="14"/>
  <c r="K228" i="14"/>
  <c r="K229" i="14"/>
  <c r="K230" i="14"/>
  <c r="K231" i="14"/>
  <c r="K234" i="14"/>
  <c r="K235" i="14"/>
  <c r="K236" i="14"/>
  <c r="K237" i="14"/>
  <c r="K238" i="14"/>
  <c r="K241" i="14"/>
  <c r="K242" i="14"/>
  <c r="K243" i="14"/>
  <c r="K244" i="14"/>
  <c r="K245" i="14"/>
  <c r="K248" i="14"/>
  <c r="K249" i="14"/>
  <c r="K250" i="14"/>
  <c r="K251" i="14"/>
  <c r="K252" i="14"/>
  <c r="K255" i="14"/>
  <c r="K256" i="14"/>
  <c r="K257" i="14"/>
  <c r="K258" i="14"/>
  <c r="K259" i="14"/>
  <c r="K262" i="14"/>
  <c r="K263" i="14"/>
  <c r="K264" i="14"/>
  <c r="K265" i="14"/>
  <c r="K266" i="14"/>
  <c r="K269" i="14"/>
  <c r="K270" i="14"/>
  <c r="K271" i="14"/>
  <c r="K272" i="14"/>
  <c r="K273" i="14"/>
  <c r="K276" i="14"/>
  <c r="K277" i="14"/>
  <c r="K278" i="14"/>
  <c r="K279" i="14"/>
  <c r="K280" i="14"/>
  <c r="K283" i="14"/>
  <c r="K284" i="14"/>
  <c r="K285" i="14"/>
  <c r="K286" i="14"/>
  <c r="K287" i="14"/>
  <c r="K290" i="14"/>
  <c r="K291" i="14"/>
  <c r="K292" i="14"/>
  <c r="K293" i="14"/>
  <c r="K294" i="14"/>
  <c r="K297" i="14"/>
  <c r="K298" i="14"/>
  <c r="K299" i="14"/>
  <c r="K300" i="14"/>
  <c r="K301" i="14"/>
  <c r="K304" i="14"/>
  <c r="K305" i="14"/>
  <c r="K306" i="14"/>
  <c r="K307" i="14"/>
  <c r="K308" i="14"/>
  <c r="K311" i="14"/>
  <c r="K312" i="14"/>
  <c r="K313" i="14"/>
  <c r="K314" i="14"/>
  <c r="K315" i="14"/>
  <c r="K318" i="14"/>
  <c r="K319" i="14"/>
  <c r="K320" i="14"/>
  <c r="K321" i="14"/>
  <c r="K322" i="14"/>
  <c r="K325" i="14"/>
  <c r="K326" i="14"/>
  <c r="K327" i="14"/>
  <c r="K328" i="14"/>
  <c r="K329" i="14"/>
  <c r="K332" i="14"/>
  <c r="K333" i="14"/>
  <c r="K334" i="14"/>
  <c r="K335" i="14"/>
  <c r="K336" i="14"/>
  <c r="K339" i="14"/>
  <c r="K340" i="14"/>
  <c r="K341" i="14"/>
  <c r="K342" i="14"/>
  <c r="K343" i="14"/>
  <c r="K346" i="14"/>
  <c r="K347" i="14"/>
  <c r="K348" i="14"/>
  <c r="K349" i="14"/>
  <c r="K350" i="14"/>
  <c r="K353" i="14"/>
  <c r="K354" i="14"/>
  <c r="K355" i="14"/>
  <c r="K356" i="14"/>
  <c r="K357" i="14"/>
  <c r="K360" i="14"/>
  <c r="K361" i="14"/>
  <c r="K362" i="14"/>
  <c r="K363" i="14"/>
  <c r="K364" i="14"/>
  <c r="K367" i="14"/>
  <c r="K368" i="14"/>
  <c r="K369" i="14"/>
  <c r="K370" i="14"/>
  <c r="K371" i="14"/>
  <c r="K374" i="14"/>
  <c r="K375" i="14"/>
  <c r="K376" i="14"/>
  <c r="K377" i="14"/>
  <c r="K17" i="14"/>
  <c r="G377" i="14"/>
  <c r="G376" i="14"/>
  <c r="H376" i="14" s="1"/>
  <c r="G375" i="14"/>
  <c r="H375" i="14" s="1"/>
  <c r="G371" i="14"/>
  <c r="H371" i="14" s="1"/>
  <c r="G370" i="14"/>
  <c r="G369" i="14"/>
  <c r="N369" i="14" s="1"/>
  <c r="G368" i="14"/>
  <c r="H368" i="14" s="1"/>
  <c r="G364" i="14"/>
  <c r="H364" i="14" s="1"/>
  <c r="G363" i="14"/>
  <c r="G362" i="14"/>
  <c r="H362" i="14" s="1"/>
  <c r="G361" i="14"/>
  <c r="G357" i="14"/>
  <c r="H357" i="14" s="1"/>
  <c r="G356" i="14"/>
  <c r="G355" i="14"/>
  <c r="G354" i="14"/>
  <c r="H354" i="14" s="1"/>
  <c r="G350" i="14"/>
  <c r="H350" i="14" s="1"/>
  <c r="G349" i="14"/>
  <c r="H349" i="14" s="1"/>
  <c r="G348" i="14"/>
  <c r="H348" i="14" s="1"/>
  <c r="G347" i="14"/>
  <c r="H347" i="14" s="1"/>
  <c r="G343" i="14"/>
  <c r="H343" i="14" s="1"/>
  <c r="G342" i="14"/>
  <c r="G341" i="14"/>
  <c r="G340" i="14"/>
  <c r="G336" i="14"/>
  <c r="H336" i="14" s="1"/>
  <c r="G335" i="14"/>
  <c r="G334" i="14"/>
  <c r="H334" i="14" s="1"/>
  <c r="G333" i="14"/>
  <c r="G329" i="14"/>
  <c r="G328" i="14"/>
  <c r="G327" i="14"/>
  <c r="H327" i="14" s="1"/>
  <c r="G326" i="14"/>
  <c r="G322" i="14"/>
  <c r="H322" i="14" s="1"/>
  <c r="G321" i="14"/>
  <c r="H321" i="14" s="1"/>
  <c r="G320" i="14"/>
  <c r="H320" i="14" s="1"/>
  <c r="G319" i="14"/>
  <c r="H319" i="14" s="1"/>
  <c r="G315" i="14"/>
  <c r="H315" i="14" s="1"/>
  <c r="G314" i="14"/>
  <c r="G313" i="14"/>
  <c r="H313" i="14" s="1"/>
  <c r="G312" i="14"/>
  <c r="G308" i="14"/>
  <c r="H308" i="14" s="1"/>
  <c r="G307" i="14"/>
  <c r="G306" i="14"/>
  <c r="H306" i="14" s="1"/>
  <c r="G305" i="14"/>
  <c r="G301" i="14"/>
  <c r="H301" i="14" s="1"/>
  <c r="G300" i="14"/>
  <c r="G299" i="14"/>
  <c r="H299" i="14" s="1"/>
  <c r="G298" i="14"/>
  <c r="H298" i="14" s="1"/>
  <c r="N298" i="14" s="1"/>
  <c r="G294" i="14"/>
  <c r="G293" i="14"/>
  <c r="H293" i="14" s="1"/>
  <c r="G292" i="14"/>
  <c r="G291" i="14"/>
  <c r="H291" i="14" s="1"/>
  <c r="G287" i="14"/>
  <c r="H287" i="14" s="1"/>
  <c r="G286" i="14"/>
  <c r="G285" i="14"/>
  <c r="H285" i="14" s="1"/>
  <c r="G284" i="14"/>
  <c r="H284" i="14" s="1"/>
  <c r="G280" i="14"/>
  <c r="H280" i="14" s="1"/>
  <c r="G279" i="14"/>
  <c r="H279" i="14" s="1"/>
  <c r="G278" i="14"/>
  <c r="H278" i="14" s="1"/>
  <c r="G277" i="14"/>
  <c r="H277" i="14" s="1"/>
  <c r="G273" i="14"/>
  <c r="G272" i="14"/>
  <c r="G271" i="14"/>
  <c r="H271" i="14" s="1"/>
  <c r="G270" i="14"/>
  <c r="G266" i="14"/>
  <c r="H266" i="14" s="1"/>
  <c r="G265" i="14"/>
  <c r="H265" i="14" s="1"/>
  <c r="G264" i="14"/>
  <c r="H264" i="14" s="1"/>
  <c r="G263" i="14"/>
  <c r="H263" i="14" s="1"/>
  <c r="G259" i="14"/>
  <c r="G258" i="14"/>
  <c r="H258" i="14" s="1"/>
  <c r="G257" i="14"/>
  <c r="G256" i="14"/>
  <c r="H256" i="14" s="1"/>
  <c r="G252" i="14"/>
  <c r="H252" i="14" s="1"/>
  <c r="G251" i="14"/>
  <c r="H251" i="14" s="1"/>
  <c r="G250" i="14"/>
  <c r="H250" i="14" s="1"/>
  <c r="G249" i="14"/>
  <c r="H249" i="14" s="1"/>
  <c r="R246" i="14"/>
  <c r="G245" i="14"/>
  <c r="H245" i="14" s="1"/>
  <c r="N245" i="14" s="1"/>
  <c r="G244" i="14"/>
  <c r="G243" i="14"/>
  <c r="H243" i="14" s="1"/>
  <c r="N243" i="14" s="1"/>
  <c r="G242" i="14"/>
  <c r="R239" i="14"/>
  <c r="G238" i="14"/>
  <c r="H238" i="14" s="1"/>
  <c r="N238" i="14" s="1"/>
  <c r="G237" i="14"/>
  <c r="H237" i="14" s="1"/>
  <c r="N237" i="14" s="1"/>
  <c r="G236" i="14"/>
  <c r="H236" i="14" s="1"/>
  <c r="G235" i="14"/>
  <c r="H235" i="14" s="1"/>
  <c r="N235" i="14" s="1"/>
  <c r="G231" i="14"/>
  <c r="H231" i="14" s="1"/>
  <c r="N231" i="14" s="1"/>
  <c r="G230" i="14"/>
  <c r="G229" i="14"/>
  <c r="H229" i="14" s="1"/>
  <c r="G228" i="14"/>
  <c r="H228" i="14" s="1"/>
  <c r="G224" i="14"/>
  <c r="G223" i="14"/>
  <c r="H223" i="14" s="1"/>
  <c r="G222" i="14"/>
  <c r="H222" i="14" s="1"/>
  <c r="G221" i="14"/>
  <c r="H221" i="14" s="1"/>
  <c r="G217" i="14"/>
  <c r="H217" i="14" s="1"/>
  <c r="G216" i="14"/>
  <c r="G215" i="14"/>
  <c r="H215" i="14" s="1"/>
  <c r="G214" i="14"/>
  <c r="H214" i="14" s="1"/>
  <c r="G210" i="14"/>
  <c r="H210" i="14" s="1"/>
  <c r="G209" i="14"/>
  <c r="H209" i="14" s="1"/>
  <c r="G208" i="14"/>
  <c r="H208" i="14" s="1"/>
  <c r="G207" i="14"/>
  <c r="H207" i="14" s="1"/>
  <c r="G203" i="14"/>
  <c r="G202" i="14"/>
  <c r="G201" i="14"/>
  <c r="H201" i="14" s="1"/>
  <c r="G200" i="14"/>
  <c r="H200" i="14" s="1"/>
  <c r="G196" i="14"/>
  <c r="H196" i="14" s="1"/>
  <c r="G195" i="14"/>
  <c r="H195" i="14" s="1"/>
  <c r="G194" i="14"/>
  <c r="V193" i="14"/>
  <c r="G193" i="14"/>
  <c r="H193" i="14" s="1"/>
  <c r="G189" i="14"/>
  <c r="H189" i="14" s="1"/>
  <c r="G188" i="14"/>
  <c r="G187" i="14"/>
  <c r="H187" i="14" s="1"/>
  <c r="G186" i="14"/>
  <c r="H186" i="14" s="1"/>
  <c r="G182" i="14"/>
  <c r="H182" i="14" s="1"/>
  <c r="G181" i="14"/>
  <c r="H181" i="14" s="1"/>
  <c r="G180" i="14"/>
  <c r="H180" i="14" s="1"/>
  <c r="G179" i="14"/>
  <c r="H179" i="14" s="1"/>
  <c r="G175" i="14"/>
  <c r="H175" i="14" s="1"/>
  <c r="G174" i="14"/>
  <c r="G173" i="14"/>
  <c r="H173" i="14" s="1"/>
  <c r="G172" i="14"/>
  <c r="H172" i="14" s="1"/>
  <c r="G168" i="14"/>
  <c r="H168" i="14" s="1"/>
  <c r="G167" i="14"/>
  <c r="H167" i="14" s="1"/>
  <c r="G166" i="14"/>
  <c r="G165" i="14"/>
  <c r="H165" i="14" s="1"/>
  <c r="G161" i="14"/>
  <c r="H161" i="14" s="1"/>
  <c r="G160" i="14"/>
  <c r="G159" i="14"/>
  <c r="G158" i="14"/>
  <c r="G154" i="14"/>
  <c r="H154" i="14" s="1"/>
  <c r="G153" i="14"/>
  <c r="H153" i="14" s="1"/>
  <c r="G152" i="14"/>
  <c r="H152" i="14" s="1"/>
  <c r="G151" i="14"/>
  <c r="H151" i="14" s="1"/>
  <c r="G147" i="14"/>
  <c r="H147" i="14" s="1"/>
  <c r="G146" i="14"/>
  <c r="G145" i="14"/>
  <c r="H145" i="14" s="1"/>
  <c r="G144" i="14"/>
  <c r="H144" i="14" s="1"/>
  <c r="G140" i="14"/>
  <c r="H140" i="14" s="1"/>
  <c r="G139" i="14"/>
  <c r="G138" i="14"/>
  <c r="H138" i="14" s="1"/>
  <c r="G137" i="14"/>
  <c r="H137" i="14" s="1"/>
  <c r="G134" i="14"/>
  <c r="G133" i="14"/>
  <c r="H133" i="14" s="1"/>
  <c r="G132" i="14"/>
  <c r="H132" i="14" s="1"/>
  <c r="G131" i="14"/>
  <c r="H131" i="14" s="1"/>
  <c r="G130" i="14"/>
  <c r="H130" i="14" s="1"/>
  <c r="G126" i="14"/>
  <c r="G125" i="14"/>
  <c r="G124" i="14"/>
  <c r="H124" i="14" s="1"/>
  <c r="G123" i="14"/>
  <c r="H123" i="14" s="1"/>
  <c r="G119" i="14"/>
  <c r="H119" i="14" s="1"/>
  <c r="G118" i="14"/>
  <c r="H118" i="14" s="1"/>
  <c r="G117" i="14"/>
  <c r="H117" i="14" s="1"/>
  <c r="G116" i="14"/>
  <c r="H116" i="14" s="1"/>
  <c r="G112" i="14"/>
  <c r="H112" i="14" s="1"/>
  <c r="G111" i="14"/>
  <c r="H111" i="14" s="1"/>
  <c r="G110" i="14"/>
  <c r="G109" i="14"/>
  <c r="H109" i="14" s="1"/>
  <c r="G105" i="14"/>
  <c r="G104" i="14"/>
  <c r="H104" i="14" s="1"/>
  <c r="G103" i="14"/>
  <c r="H103" i="14" s="1"/>
  <c r="G102" i="14"/>
  <c r="H102" i="14" s="1"/>
  <c r="G98" i="14"/>
  <c r="H98" i="14" s="1"/>
  <c r="G97" i="14"/>
  <c r="H97" i="14" s="1"/>
  <c r="G96" i="14"/>
  <c r="G95" i="14"/>
  <c r="H95" i="14" s="1"/>
  <c r="G91" i="14"/>
  <c r="H91" i="14" s="1"/>
  <c r="G90" i="14"/>
  <c r="H90" i="14" s="1"/>
  <c r="G89" i="14"/>
  <c r="G88" i="14"/>
  <c r="H88" i="14" s="1"/>
  <c r="G84" i="14"/>
  <c r="H84" i="14" s="1"/>
  <c r="G83" i="14"/>
  <c r="G82" i="14"/>
  <c r="G81" i="14"/>
  <c r="H81" i="14" s="1"/>
  <c r="G78" i="14"/>
  <c r="H78" i="14" s="1"/>
  <c r="G77" i="14"/>
  <c r="H77" i="14" s="1"/>
  <c r="G76" i="14"/>
  <c r="G75" i="14"/>
  <c r="H75" i="14" s="1"/>
  <c r="G74" i="14"/>
  <c r="H74" i="14" s="1"/>
  <c r="G70" i="14"/>
  <c r="H70" i="14" s="1"/>
  <c r="G69" i="14"/>
  <c r="G68" i="14"/>
  <c r="G67" i="14"/>
  <c r="H67" i="14" s="1"/>
  <c r="G64" i="14"/>
  <c r="H64" i="14" s="1"/>
  <c r="G63" i="14"/>
  <c r="G62" i="14"/>
  <c r="H62" i="14" s="1"/>
  <c r="G61" i="14"/>
  <c r="H61" i="14" s="1"/>
  <c r="G60" i="14"/>
  <c r="H60" i="14" s="1"/>
  <c r="G56" i="14"/>
  <c r="G55" i="14"/>
  <c r="H55" i="14" s="1"/>
  <c r="G54" i="14"/>
  <c r="H54" i="14" s="1"/>
  <c r="G53" i="14"/>
  <c r="H53" i="14" s="1"/>
  <c r="G49" i="14"/>
  <c r="H49" i="14" s="1"/>
  <c r="G48" i="14"/>
  <c r="H48" i="14" s="1"/>
  <c r="G47" i="14"/>
  <c r="H47" i="14" s="1"/>
  <c r="G46" i="14"/>
  <c r="G42" i="14"/>
  <c r="G41" i="14"/>
  <c r="H41" i="14" s="1"/>
  <c r="G40" i="14"/>
  <c r="G39" i="14"/>
  <c r="H39" i="14" s="1"/>
  <c r="G35" i="14"/>
  <c r="H35" i="14" s="1"/>
  <c r="G34" i="14"/>
  <c r="G33" i="14"/>
  <c r="H33" i="14" s="1"/>
  <c r="G32" i="14"/>
  <c r="H32" i="14" s="1"/>
  <c r="G28" i="14"/>
  <c r="G27" i="14"/>
  <c r="G26" i="14"/>
  <c r="G25" i="14"/>
  <c r="G24" i="14"/>
  <c r="G21" i="14"/>
  <c r="G20" i="14"/>
  <c r="G19" i="14"/>
  <c r="N19" i="14" s="1"/>
  <c r="G18" i="14"/>
  <c r="G17" i="14"/>
  <c r="K14" i="14"/>
  <c r="G14" i="14"/>
  <c r="M14" i="14" s="1"/>
  <c r="N14" i="14" s="1"/>
  <c r="K13" i="14"/>
  <c r="G13" i="14"/>
  <c r="Q7" i="14"/>
  <c r="P7" i="14"/>
  <c r="N20" i="14" l="1"/>
  <c r="O173" i="14"/>
  <c r="O73" i="14"/>
  <c r="O318" i="14"/>
  <c r="N236" i="14"/>
  <c r="O227" i="14"/>
  <c r="O157" i="14"/>
  <c r="O298" i="14"/>
  <c r="O200" i="14"/>
  <c r="O201" i="14" s="1"/>
  <c r="O202" i="14" s="1"/>
  <c r="O235" i="14"/>
  <c r="O236" i="14" s="1"/>
  <c r="O237" i="14" s="1"/>
  <c r="O238" i="14" s="1"/>
  <c r="O88" i="14"/>
  <c r="N76" i="14"/>
  <c r="N110" i="14"/>
  <c r="N312" i="14"/>
  <c r="O312" i="14" s="1"/>
  <c r="N328" i="14"/>
  <c r="H159" i="14"/>
  <c r="N159" i="14" s="1"/>
  <c r="O164" i="14"/>
  <c r="N125" i="14"/>
  <c r="N46" i="14"/>
  <c r="P46" i="14" s="1"/>
  <c r="H312" i="14"/>
  <c r="N28" i="14"/>
  <c r="N96" i="14"/>
  <c r="O94" i="14"/>
  <c r="N228" i="14"/>
  <c r="P228" i="14" s="1"/>
  <c r="N200" i="14"/>
  <c r="N299" i="14"/>
  <c r="H294" i="14"/>
  <c r="N294" i="14" s="1"/>
  <c r="H76" i="14"/>
  <c r="N26" i="14"/>
  <c r="N266" i="14"/>
  <c r="N300" i="14"/>
  <c r="N370" i="14"/>
  <c r="H363" i="14"/>
  <c r="N363" i="14" s="1"/>
  <c r="H335" i="14"/>
  <c r="N335" i="14" s="1"/>
  <c r="H63" i="14"/>
  <c r="N63" i="14" s="1"/>
  <c r="N49" i="14"/>
  <c r="N83" i="14"/>
  <c r="H194" i="14"/>
  <c r="N194" i="14" s="1"/>
  <c r="P194" i="14" s="1"/>
  <c r="H166" i="14"/>
  <c r="N166" i="14" s="1"/>
  <c r="H126" i="14"/>
  <c r="N126" i="14" s="1"/>
  <c r="H34" i="14"/>
  <c r="N34" i="14" s="1"/>
  <c r="O45" i="14"/>
  <c r="N145" i="14"/>
  <c r="N35" i="14"/>
  <c r="N103" i="14"/>
  <c r="N340" i="14"/>
  <c r="O340" i="14" s="1"/>
  <c r="O341" i="14" s="1"/>
  <c r="H333" i="14"/>
  <c r="N333" i="14" s="1"/>
  <c r="O333" i="14" s="1"/>
  <c r="O334" i="14" s="1"/>
  <c r="H305" i="14"/>
  <c r="N305" i="14" s="1"/>
  <c r="O305" i="14" s="1"/>
  <c r="O306" i="14" s="1"/>
  <c r="O307" i="14" s="1"/>
  <c r="H125" i="14"/>
  <c r="H83" i="14"/>
  <c r="N98" i="14"/>
  <c r="N88" i="14"/>
  <c r="N306" i="14"/>
  <c r="N341" i="14"/>
  <c r="N376" i="14"/>
  <c r="H110" i="14"/>
  <c r="H96" i="14"/>
  <c r="H82" i="14"/>
  <c r="N82" i="14" s="1"/>
  <c r="H46" i="14"/>
  <c r="N60" i="14"/>
  <c r="O60" i="14" s="1"/>
  <c r="O61" i="14" s="1"/>
  <c r="O62" i="14" s="1"/>
  <c r="O63" i="14" s="1"/>
  <c r="N119" i="14"/>
  <c r="N39" i="14"/>
  <c r="O39" i="14" s="1"/>
  <c r="N74" i="14"/>
  <c r="O74" i="14" s="1"/>
  <c r="N89" i="14"/>
  <c r="N124" i="14"/>
  <c r="N174" i="14"/>
  <c r="O174" i="14" s="1"/>
  <c r="O175" i="14" s="1"/>
  <c r="N208" i="14"/>
  <c r="N326" i="14"/>
  <c r="O326" i="14" s="1"/>
  <c r="O327" i="14" s="1"/>
  <c r="O328" i="14" s="1"/>
  <c r="H329" i="14"/>
  <c r="N329" i="14" s="1"/>
  <c r="H273" i="14"/>
  <c r="N273" i="14" s="1"/>
  <c r="H259" i="14"/>
  <c r="N259" i="14" s="1"/>
  <c r="H203" i="14"/>
  <c r="N203" i="14" s="1"/>
  <c r="H69" i="14"/>
  <c r="N69" i="14" s="1"/>
  <c r="O241" i="14"/>
  <c r="O242" i="14" s="1"/>
  <c r="O243" i="14" s="1"/>
  <c r="O244" i="14" s="1"/>
  <c r="O245" i="14" s="1"/>
  <c r="O150" i="14"/>
  <c r="N105" i="14"/>
  <c r="N56" i="14"/>
  <c r="N68" i="14"/>
  <c r="N139" i="14"/>
  <c r="N181" i="14"/>
  <c r="N91" i="14"/>
  <c r="N201" i="14"/>
  <c r="N319" i="14"/>
  <c r="P319" i="14" s="1"/>
  <c r="N61" i="14"/>
  <c r="N348" i="14"/>
  <c r="N280" i="14"/>
  <c r="N321" i="14"/>
  <c r="N349" i="14"/>
  <c r="N308" i="14"/>
  <c r="N180" i="14"/>
  <c r="N221" i="14"/>
  <c r="O221" i="14" s="1"/>
  <c r="N362" i="14"/>
  <c r="N307" i="14"/>
  <c r="N377" i="14"/>
  <c r="N322" i="14"/>
  <c r="N152" i="14"/>
  <c r="N252" i="14"/>
  <c r="N207" i="14"/>
  <c r="O207" i="14" s="1"/>
  <c r="O208" i="14" s="1"/>
  <c r="O209" i="14" s="1"/>
  <c r="O210" i="14" s="1"/>
  <c r="N32" i="14"/>
  <c r="O32" i="14" s="1"/>
  <c r="N355" i="14"/>
  <c r="N117" i="14"/>
  <c r="N196" i="14"/>
  <c r="N287" i="14"/>
  <c r="N314" i="14"/>
  <c r="N342" i="14"/>
  <c r="N62" i="14"/>
  <c r="N132" i="14"/>
  <c r="N315" i="14"/>
  <c r="N95" i="14"/>
  <c r="N137" i="14"/>
  <c r="O137" i="14" s="1"/>
  <c r="N144" i="14"/>
  <c r="O144" i="14" s="1"/>
  <c r="N250" i="14"/>
  <c r="N257" i="14"/>
  <c r="N271" i="14"/>
  <c r="N278" i="14"/>
  <c r="N347" i="14"/>
  <c r="P347" i="14" s="1"/>
  <c r="N354" i="14"/>
  <c r="O354" i="14" s="1"/>
  <c r="N361" i="14"/>
  <c r="O361" i="14" s="1"/>
  <c r="O362" i="14" s="1"/>
  <c r="N368" i="14"/>
  <c r="O368" i="14" s="1"/>
  <c r="O369" i="14" s="1"/>
  <c r="O370" i="14" s="1"/>
  <c r="N70" i="14"/>
  <c r="Q19" i="14"/>
  <c r="Q20" i="14" s="1"/>
  <c r="N195" i="14"/>
  <c r="N202" i="14"/>
  <c r="N209" i="14"/>
  <c r="N216" i="14"/>
  <c r="N223" i="14"/>
  <c r="N48" i="14"/>
  <c r="N292" i="14"/>
  <c r="N313" i="14"/>
  <c r="N320" i="14"/>
  <c r="N327" i="14"/>
  <c r="N334" i="14"/>
  <c r="N104" i="14"/>
  <c r="N111" i="14"/>
  <c r="N187" i="14"/>
  <c r="N112" i="14"/>
  <c r="N336" i="14"/>
  <c r="N21" i="14"/>
  <c r="N40" i="14"/>
  <c r="N47" i="14"/>
  <c r="N54" i="14"/>
  <c r="N175" i="14"/>
  <c r="N182" i="14"/>
  <c r="N78" i="14"/>
  <c r="N84" i="14"/>
  <c r="N97" i="14"/>
  <c r="N116" i="14"/>
  <c r="O116" i="14" s="1"/>
  <c r="O117" i="14" s="1"/>
  <c r="O118" i="14" s="1"/>
  <c r="O119" i="14" s="1"/>
  <c r="N134" i="14"/>
  <c r="N147" i="14"/>
  <c r="N154" i="14"/>
  <c r="N161" i="14"/>
  <c r="N168" i="14"/>
  <c r="N249" i="14"/>
  <c r="O249" i="14" s="1"/>
  <c r="O250" i="14" s="1"/>
  <c r="N256" i="14"/>
  <c r="P256" i="14" s="1"/>
  <c r="P257" i="14" s="1"/>
  <c r="N263" i="14"/>
  <c r="O263" i="14" s="1"/>
  <c r="N270" i="14"/>
  <c r="O270" i="14" s="1"/>
  <c r="O271" i="14" s="1"/>
  <c r="O272" i="14" s="1"/>
  <c r="N277" i="14"/>
  <c r="O277" i="14" s="1"/>
  <c r="O278" i="14" s="1"/>
  <c r="O279" i="14" s="1"/>
  <c r="O280" i="14" s="1"/>
  <c r="N291" i="14"/>
  <c r="O291" i="14" s="1"/>
  <c r="O292" i="14" s="1"/>
  <c r="O293" i="14" s="1"/>
  <c r="O294" i="14" s="1"/>
  <c r="N55" i="14"/>
  <c r="N75" i="14"/>
  <c r="N118" i="14"/>
  <c r="N131" i="14"/>
  <c r="N138" i="14"/>
  <c r="N151" i="14"/>
  <c r="N158" i="14"/>
  <c r="N188" i="14"/>
  <c r="N215" i="14"/>
  <c r="N222" i="14"/>
  <c r="N251" i="14"/>
  <c r="N258" i="14"/>
  <c r="N265" i="14"/>
  <c r="N272" i="14"/>
  <c r="N279" i="14"/>
  <c r="N286" i="14"/>
  <c r="P286" i="14" s="1"/>
  <c r="N293" i="14"/>
  <c r="N77" i="14"/>
  <c r="N133" i="14"/>
  <c r="P133" i="14" s="1"/>
  <c r="P136" i="14" s="1"/>
  <c r="N146" i="14"/>
  <c r="N153" i="14"/>
  <c r="N160" i="14"/>
  <c r="N167" i="14"/>
  <c r="N217" i="14"/>
  <c r="N224" i="14"/>
  <c r="N64" i="14"/>
  <c r="N90" i="14"/>
  <c r="N140" i="14"/>
  <c r="N179" i="14"/>
  <c r="O179" i="14" s="1"/>
  <c r="N343" i="14"/>
  <c r="N350" i="14"/>
  <c r="N357" i="14"/>
  <c r="N364" i="14"/>
  <c r="N371" i="14"/>
  <c r="N214" i="14"/>
  <c r="O214" i="14" s="1"/>
  <c r="N189" i="14"/>
  <c r="N165" i="14"/>
  <c r="P165" i="14" s="1"/>
  <c r="N229" i="14"/>
  <c r="Q46" i="14"/>
  <c r="Q39" i="14"/>
  <c r="Q61" i="14"/>
  <c r="Q60" i="14"/>
  <c r="N13" i="14"/>
  <c r="Q13" i="14"/>
  <c r="Q14" i="14" s="1"/>
  <c r="Q15" i="14" s="1"/>
  <c r="R15" i="14" s="1"/>
  <c r="N18" i="14"/>
  <c r="O18" i="14" s="1"/>
  <c r="O19" i="14" s="1"/>
  <c r="O20" i="14" s="1"/>
  <c r="Q18" i="14"/>
  <c r="R176" i="14"/>
  <c r="N210" i="14"/>
  <c r="N264" i="14"/>
  <c r="N301" i="14"/>
  <c r="Q89" i="14"/>
  <c r="N356" i="14"/>
  <c r="P354" i="6"/>
  <c r="P47" i="14" l="1"/>
  <c r="O355" i="14"/>
  <c r="O356" i="14" s="1"/>
  <c r="O180" i="14"/>
  <c r="O181" i="14" s="1"/>
  <c r="O182" i="14" s="1"/>
  <c r="O75" i="14"/>
  <c r="O76" i="14" s="1"/>
  <c r="O77" i="14" s="1"/>
  <c r="O78" i="14" s="1"/>
  <c r="P258" i="14"/>
  <c r="P259" i="14" s="1"/>
  <c r="P262" i="14" s="1"/>
  <c r="P263" i="14" s="1"/>
  <c r="P264" i="14" s="1"/>
  <c r="P265" i="14" s="1"/>
  <c r="P266" i="14" s="1"/>
  <c r="P269" i="14" s="1"/>
  <c r="P270" i="14" s="1"/>
  <c r="P271" i="14" s="1"/>
  <c r="P272" i="14" s="1"/>
  <c r="P273" i="14" s="1"/>
  <c r="P276" i="14" s="1"/>
  <c r="P277" i="14" s="1"/>
  <c r="P278" i="14" s="1"/>
  <c r="P279" i="14" s="1"/>
  <c r="P280" i="14" s="1"/>
  <c r="P283" i="14" s="1"/>
  <c r="O145" i="14"/>
  <c r="P48" i="14"/>
  <c r="P49" i="14" s="1"/>
  <c r="P52" i="14" s="1"/>
  <c r="O342" i="14"/>
  <c r="O343" i="14" s="1"/>
  <c r="O158" i="14"/>
  <c r="O159" i="14" s="1"/>
  <c r="O160" i="14" s="1"/>
  <c r="O161" i="14" s="1"/>
  <c r="O264" i="14"/>
  <c r="O265" i="14" s="1"/>
  <c r="O266" i="14" s="1"/>
  <c r="O21" i="14"/>
  <c r="O313" i="14"/>
  <c r="O314" i="14" s="1"/>
  <c r="O315" i="14" s="1"/>
  <c r="O215" i="14"/>
  <c r="O216" i="14" s="1"/>
  <c r="O217" i="14" s="1"/>
  <c r="O222" i="14"/>
  <c r="O223" i="14" s="1"/>
  <c r="O224" i="14" s="1"/>
  <c r="O308" i="14"/>
  <c r="P166" i="14"/>
  <c r="P167" i="14" s="1"/>
  <c r="P168" i="14" s="1"/>
  <c r="P171" i="14" s="1"/>
  <c r="P172" i="14" s="1"/>
  <c r="P173" i="14" s="1"/>
  <c r="P174" i="14" s="1"/>
  <c r="P175" i="14" s="1"/>
  <c r="P178" i="14" s="1"/>
  <c r="P179" i="14" s="1"/>
  <c r="P180" i="14" s="1"/>
  <c r="P181" i="14" s="1"/>
  <c r="P182" i="14" s="1"/>
  <c r="P185" i="14" s="1"/>
  <c r="O251" i="14"/>
  <c r="O252" i="14" s="1"/>
  <c r="O146" i="14"/>
  <c r="O147" i="14" s="1"/>
  <c r="O40" i="14"/>
  <c r="O46" i="14"/>
  <c r="O47" i="14" s="1"/>
  <c r="O48" i="14" s="1"/>
  <c r="O49" i="14" s="1"/>
  <c r="O138" i="14"/>
  <c r="O139" i="14" s="1"/>
  <c r="O140" i="14" s="1"/>
  <c r="N25" i="14"/>
  <c r="O25" i="14" s="1"/>
  <c r="O26" i="14" s="1"/>
  <c r="Q26" i="14"/>
  <c r="Q27" i="14" s="1"/>
  <c r="Q28" i="14" s="1"/>
  <c r="R29" i="14" s="1"/>
  <c r="Q25" i="14"/>
  <c r="O329" i="14"/>
  <c r="O273" i="14"/>
  <c r="O335" i="14"/>
  <c r="O336" i="14" s="1"/>
  <c r="O89" i="14"/>
  <c r="O90" i="14" s="1"/>
  <c r="O91" i="14" s="1"/>
  <c r="O203" i="14"/>
  <c r="O363" i="14"/>
  <c r="O364" i="14" s="1"/>
  <c r="O347" i="14"/>
  <c r="O348" i="14" s="1"/>
  <c r="O349" i="14" s="1"/>
  <c r="O350" i="14" s="1"/>
  <c r="O371" i="14"/>
  <c r="P229" i="14"/>
  <c r="P230" i="14" s="1"/>
  <c r="P231" i="14" s="1"/>
  <c r="P234" i="14" s="1"/>
  <c r="P235" i="14" s="1"/>
  <c r="P236" i="14" s="1"/>
  <c r="P237" i="14" s="1"/>
  <c r="P238" i="14" s="1"/>
  <c r="P241" i="14" s="1"/>
  <c r="P242" i="14" s="1"/>
  <c r="P243" i="14" s="1"/>
  <c r="P244" i="14" s="1"/>
  <c r="P245" i="14" s="1"/>
  <c r="P248" i="14" s="1"/>
  <c r="P249" i="14" s="1"/>
  <c r="P250" i="14" s="1"/>
  <c r="P251" i="14" s="1"/>
  <c r="P252" i="14" s="1"/>
  <c r="P255" i="14" s="1"/>
  <c r="O228" i="14"/>
  <c r="O229" i="14" s="1"/>
  <c r="O230" i="14" s="1"/>
  <c r="O231" i="14" s="1"/>
  <c r="O165" i="14"/>
  <c r="O166" i="14" s="1"/>
  <c r="O167" i="14" s="1"/>
  <c r="O168" i="14" s="1"/>
  <c r="O357" i="14"/>
  <c r="O299" i="14"/>
  <c r="O300" i="14" s="1"/>
  <c r="O301" i="14" s="1"/>
  <c r="P74" i="14"/>
  <c r="P75" i="14" s="1"/>
  <c r="P76" i="14" s="1"/>
  <c r="P77" i="14" s="1"/>
  <c r="P80" i="14" s="1"/>
  <c r="O256" i="14"/>
  <c r="O257" i="14" s="1"/>
  <c r="O258" i="14" s="1"/>
  <c r="O259" i="14" s="1"/>
  <c r="O319" i="14"/>
  <c r="O320" i="14" s="1"/>
  <c r="O321" i="14" s="1"/>
  <c r="O322" i="14" s="1"/>
  <c r="P348" i="14"/>
  <c r="P349" i="14" s="1"/>
  <c r="P350" i="14" s="1"/>
  <c r="P353" i="14" s="1"/>
  <c r="P354" i="14" s="1"/>
  <c r="P355" i="14" s="1"/>
  <c r="P356" i="14" s="1"/>
  <c r="P357" i="14" s="1"/>
  <c r="P360" i="14" s="1"/>
  <c r="P361" i="14" s="1"/>
  <c r="P362" i="14" s="1"/>
  <c r="P363" i="14" s="1"/>
  <c r="P364" i="14" s="1"/>
  <c r="P367" i="14" s="1"/>
  <c r="P368" i="14" s="1"/>
  <c r="P369" i="14" s="1"/>
  <c r="P370" i="14" s="1"/>
  <c r="P371" i="14" s="1"/>
  <c r="P374" i="14" s="1"/>
  <c r="Q74" i="14"/>
  <c r="P320" i="14"/>
  <c r="P321" i="14" s="1"/>
  <c r="P322" i="14" s="1"/>
  <c r="P325" i="14" s="1"/>
  <c r="P326" i="14" s="1"/>
  <c r="P327" i="14" s="1"/>
  <c r="P328" i="14" s="1"/>
  <c r="P329" i="14" s="1"/>
  <c r="P332" i="14" s="1"/>
  <c r="P333" i="14" s="1"/>
  <c r="P334" i="14" s="1"/>
  <c r="P335" i="14" s="1"/>
  <c r="P336" i="14" s="1"/>
  <c r="P339" i="14" s="1"/>
  <c r="P340" i="14" s="1"/>
  <c r="P341" i="14" s="1"/>
  <c r="P342" i="14" s="1"/>
  <c r="P343" i="14" s="1"/>
  <c r="P346" i="14" s="1"/>
  <c r="P137" i="14"/>
  <c r="P138" i="14" s="1"/>
  <c r="P139" i="14" s="1"/>
  <c r="P140" i="14" s="1"/>
  <c r="P143" i="14" s="1"/>
  <c r="P144" i="14" s="1"/>
  <c r="P145" i="14" s="1"/>
  <c r="P146" i="14" s="1"/>
  <c r="P147" i="14" s="1"/>
  <c r="P150" i="14" s="1"/>
  <c r="P151" i="14" s="1"/>
  <c r="P152" i="14" s="1"/>
  <c r="P153" i="14" s="1"/>
  <c r="P154" i="14" s="1"/>
  <c r="P157" i="14" s="1"/>
  <c r="P158" i="14" s="1"/>
  <c r="P159" i="14" s="1"/>
  <c r="P160" i="14" s="1"/>
  <c r="P161" i="14" s="1"/>
  <c r="Q88" i="14"/>
  <c r="O95" i="14"/>
  <c r="O96" i="14" s="1"/>
  <c r="O97" i="14" s="1"/>
  <c r="O98" i="14" s="1"/>
  <c r="O151" i="14"/>
  <c r="O152" i="14" s="1"/>
  <c r="O153" i="14" s="1"/>
  <c r="O154" i="14" s="1"/>
  <c r="Q376" i="14"/>
  <c r="N375" i="14"/>
  <c r="N27" i="14"/>
  <c r="N130" i="14"/>
  <c r="O130" i="14" s="1"/>
  <c r="O131" i="14" s="1"/>
  <c r="O132" i="14" s="1"/>
  <c r="O133" i="14" s="1"/>
  <c r="N41" i="14"/>
  <c r="N123" i="14"/>
  <c r="O123" i="14" s="1"/>
  <c r="O124" i="14" s="1"/>
  <c r="O125" i="14" s="1"/>
  <c r="O126" i="14" s="1"/>
  <c r="N33" i="14"/>
  <c r="O33" i="14" s="1"/>
  <c r="O34" i="14" s="1"/>
  <c r="O35" i="14" s="1"/>
  <c r="N285" i="14"/>
  <c r="N42" i="14"/>
  <c r="N193" i="14"/>
  <c r="O193" i="14" s="1"/>
  <c r="O194" i="14" s="1"/>
  <c r="O195" i="14" s="1"/>
  <c r="O196" i="14" s="1"/>
  <c r="Q47" i="14"/>
  <c r="N284" i="14"/>
  <c r="O284" i="14" s="1"/>
  <c r="N186" i="14"/>
  <c r="O186" i="14" s="1"/>
  <c r="O187" i="14" s="1"/>
  <c r="O188" i="14" s="1"/>
  <c r="O189" i="14" s="1"/>
  <c r="Q54" i="14"/>
  <c r="Q55" i="14" s="1"/>
  <c r="Q56" i="14" s="1"/>
  <c r="R57" i="14" s="1"/>
  <c r="N53" i="14"/>
  <c r="O53" i="14" s="1"/>
  <c r="O54" i="14" s="1"/>
  <c r="O55" i="14" s="1"/>
  <c r="O56" i="14" s="1"/>
  <c r="Q82" i="14"/>
  <c r="Q83" i="14" s="1"/>
  <c r="N81" i="14"/>
  <c r="O81" i="14" s="1"/>
  <c r="O82" i="14" s="1"/>
  <c r="O83" i="14" s="1"/>
  <c r="O84" i="14" s="1"/>
  <c r="Q32" i="14"/>
  <c r="Q109" i="14"/>
  <c r="N109" i="14"/>
  <c r="O109" i="14" s="1"/>
  <c r="O110" i="14" s="1"/>
  <c r="O111" i="14" s="1"/>
  <c r="O112" i="14" s="1"/>
  <c r="N102" i="14"/>
  <c r="Q110" i="14"/>
  <c r="Q111" i="14" s="1"/>
  <c r="Q112" i="14" s="1"/>
  <c r="R113" i="14" s="1"/>
  <c r="Q68" i="14"/>
  <c r="Q69" i="14" s="1"/>
  <c r="Q70" i="14" s="1"/>
  <c r="R71" i="14" s="1"/>
  <c r="N67" i="14"/>
  <c r="O67" i="14" s="1"/>
  <c r="O68" i="14" s="1"/>
  <c r="O69" i="14" s="1"/>
  <c r="O70" i="14" s="1"/>
  <c r="Q81" i="14"/>
  <c r="R155" i="14"/>
  <c r="Q96" i="14"/>
  <c r="Q97" i="14" s="1"/>
  <c r="Q98" i="14" s="1"/>
  <c r="R99" i="14" s="1"/>
  <c r="R337" i="14"/>
  <c r="Q67" i="14"/>
  <c r="Q40" i="14"/>
  <c r="Q41" i="14" s="1"/>
  <c r="Q42" i="14" s="1"/>
  <c r="R43" i="14" s="1"/>
  <c r="Q75" i="14"/>
  <c r="Q76" i="14" s="1"/>
  <c r="Q77" i="14" s="1"/>
  <c r="Q78" i="14" s="1"/>
  <c r="R78" i="14" s="1"/>
  <c r="Q33" i="14"/>
  <c r="Q34" i="14" s="1"/>
  <c r="Q35" i="14" s="1"/>
  <c r="R36" i="14" s="1"/>
  <c r="Q21" i="14"/>
  <c r="Q22" i="14" s="1"/>
  <c r="R22" i="14" s="1"/>
  <c r="Q62" i="14"/>
  <c r="Q63" i="14" s="1"/>
  <c r="Q64" i="14" s="1"/>
  <c r="R64" i="14" s="1"/>
  <c r="Q53" i="14"/>
  <c r="Q84" i="14"/>
  <c r="R85" i="14" s="1"/>
  <c r="R183" i="14"/>
  <c r="Q134" i="14"/>
  <c r="R134" i="14" s="1"/>
  <c r="R197" i="14"/>
  <c r="Q132" i="14"/>
  <c r="Q95" i="14"/>
  <c r="Q102" i="14"/>
  <c r="R225" i="14"/>
  <c r="Q48" i="14"/>
  <c r="Q49" i="14" s="1"/>
  <c r="R50" i="14" s="1"/>
  <c r="R274" i="14"/>
  <c r="T102" i="14"/>
  <c r="U102" i="14" s="1"/>
  <c r="T163" i="14"/>
  <c r="U163" i="14" s="1"/>
  <c r="R120" i="14"/>
  <c r="R169" i="14"/>
  <c r="Q295" i="14"/>
  <c r="R295" i="14" s="1"/>
  <c r="R323" i="14"/>
  <c r="O13" i="14"/>
  <c r="O14" i="14" s="1"/>
  <c r="P13" i="14"/>
  <c r="P14" i="14" s="1"/>
  <c r="P17" i="14" s="1"/>
  <c r="P18" i="14" s="1"/>
  <c r="P19" i="14" s="1"/>
  <c r="P20" i="14" s="1"/>
  <c r="P21" i="14" s="1"/>
  <c r="P24" i="14" s="1"/>
  <c r="P25" i="14" s="1"/>
  <c r="P26" i="14" s="1"/>
  <c r="P27" i="14" s="1"/>
  <c r="P28" i="14" s="1"/>
  <c r="P31" i="14" s="1"/>
  <c r="P32" i="14" s="1"/>
  <c r="R365" i="14"/>
  <c r="R288" i="14"/>
  <c r="R204" i="14"/>
  <c r="T43" i="14"/>
  <c r="U43" i="14" s="1"/>
  <c r="T193" i="14"/>
  <c r="U193" i="14" s="1"/>
  <c r="R330" i="14"/>
  <c r="R260" i="14"/>
  <c r="R281" i="14"/>
  <c r="Q103" i="14"/>
  <c r="Q104" i="14" s="1"/>
  <c r="Q105" i="14" s="1"/>
  <c r="R106" i="14" s="1"/>
  <c r="R351" i="14"/>
  <c r="T71" i="14"/>
  <c r="U71" i="14" s="1"/>
  <c r="R309" i="14"/>
  <c r="R162" i="14"/>
  <c r="R316" i="14"/>
  <c r="R190" i="14"/>
  <c r="R253" i="14"/>
  <c r="R218" i="14"/>
  <c r="R127" i="14"/>
  <c r="R141" i="14"/>
  <c r="R148" i="14"/>
  <c r="T132" i="14"/>
  <c r="U132" i="14" s="1"/>
  <c r="Q90" i="14"/>
  <c r="Q91" i="14" s="1"/>
  <c r="R92" i="14" s="1"/>
  <c r="R211" i="14"/>
  <c r="R232" i="14"/>
  <c r="R267" i="14"/>
  <c r="R358" i="14"/>
  <c r="Q302" i="14"/>
  <c r="R302" i="14" s="1"/>
  <c r="O64" i="14"/>
  <c r="R344" i="14"/>
  <c r="R372" i="14"/>
  <c r="Q7" i="6"/>
  <c r="K328" i="6"/>
  <c r="O285" i="14" l="1"/>
  <c r="O286" i="14" s="1"/>
  <c r="O287" i="14" s="1"/>
  <c r="P81" i="14"/>
  <c r="P82" i="14" s="1"/>
  <c r="P83" i="14" s="1"/>
  <c r="P84" i="14" s="1"/>
  <c r="P87" i="14" s="1"/>
  <c r="P88" i="14" s="1"/>
  <c r="P89" i="14" s="1"/>
  <c r="P90" i="14" s="1"/>
  <c r="P91" i="14" s="1"/>
  <c r="P95" i="14" s="1"/>
  <c r="P96" i="14" s="1"/>
  <c r="P97" i="14" s="1"/>
  <c r="P98" i="14" s="1"/>
  <c r="P101" i="14" s="1"/>
  <c r="O41" i="14"/>
  <c r="O42" i="14" s="1"/>
  <c r="P33" i="14"/>
  <c r="P34" i="14" s="1"/>
  <c r="P35" i="14" s="1"/>
  <c r="P38" i="14" s="1"/>
  <c r="P39" i="14" s="1"/>
  <c r="P40" i="14" s="1"/>
  <c r="P41" i="14" s="1"/>
  <c r="P42" i="14" s="1"/>
  <c r="P284" i="14"/>
  <c r="P285" i="14" s="1"/>
  <c r="P287" i="14" s="1"/>
  <c r="P290" i="14" s="1"/>
  <c r="P291" i="14" s="1"/>
  <c r="P292" i="14" s="1"/>
  <c r="P293" i="14" s="1"/>
  <c r="P294" i="14" s="1"/>
  <c r="P297" i="14" s="1"/>
  <c r="P298" i="14" s="1"/>
  <c r="P299" i="14" s="1"/>
  <c r="P300" i="14" s="1"/>
  <c r="P301" i="14" s="1"/>
  <c r="P304" i="14" s="1"/>
  <c r="P305" i="14" s="1"/>
  <c r="P306" i="14" s="1"/>
  <c r="P307" i="14" s="1"/>
  <c r="P308" i="14" s="1"/>
  <c r="P311" i="14" s="1"/>
  <c r="P312" i="14" s="1"/>
  <c r="P313" i="14" s="1"/>
  <c r="P314" i="14" s="1"/>
  <c r="P315" i="14" s="1"/>
  <c r="P102" i="14"/>
  <c r="P103" i="14" s="1"/>
  <c r="P104" i="14" s="1"/>
  <c r="P105" i="14" s="1"/>
  <c r="P108" i="14" s="1"/>
  <c r="P109" i="14" s="1"/>
  <c r="P110" i="14" s="1"/>
  <c r="P111" i="14" s="1"/>
  <c r="P112" i="14" s="1"/>
  <c r="P115" i="14" s="1"/>
  <c r="P116" i="14" s="1"/>
  <c r="P117" i="14" s="1"/>
  <c r="P118" i="14" s="1"/>
  <c r="P119" i="14" s="1"/>
  <c r="P122" i="14" s="1"/>
  <c r="P123" i="14" s="1"/>
  <c r="P124" i="14" s="1"/>
  <c r="P125" i="14" s="1"/>
  <c r="P126" i="14" s="1"/>
  <c r="P129" i="14" s="1"/>
  <c r="P130" i="14" s="1"/>
  <c r="P131" i="14" s="1"/>
  <c r="P132" i="14" s="1"/>
  <c r="O102" i="14"/>
  <c r="O103" i="14" s="1"/>
  <c r="O104" i="14" s="1"/>
  <c r="O105" i="14" s="1"/>
  <c r="P53" i="14"/>
  <c r="O27" i="14"/>
  <c r="O28" i="14" s="1"/>
  <c r="P186" i="14"/>
  <c r="P187" i="14" s="1"/>
  <c r="P188" i="14" s="1"/>
  <c r="P189" i="14" s="1"/>
  <c r="P192" i="14" s="1"/>
  <c r="P193" i="14" s="1"/>
  <c r="P195" i="14" s="1"/>
  <c r="P196" i="14" s="1"/>
  <c r="P199" i="14" s="1"/>
  <c r="P200" i="14" s="1"/>
  <c r="P201" i="14" s="1"/>
  <c r="P202" i="14" s="1"/>
  <c r="P203" i="14" s="1"/>
  <c r="P206" i="14" s="1"/>
  <c r="P207" i="14" s="1"/>
  <c r="P208" i="14" s="1"/>
  <c r="P209" i="14" s="1"/>
  <c r="P210" i="14" s="1"/>
  <c r="P213" i="14" s="1"/>
  <c r="P214" i="14" s="1"/>
  <c r="P215" i="14" s="1"/>
  <c r="P216" i="14" s="1"/>
  <c r="P217" i="14" s="1"/>
  <c r="P220" i="14" s="1"/>
  <c r="P221" i="14" s="1"/>
  <c r="P222" i="14" s="1"/>
  <c r="P223" i="14" s="1"/>
  <c r="P224" i="14" s="1"/>
  <c r="P375" i="14"/>
  <c r="P376" i="14" s="1"/>
  <c r="P377" i="14" s="1"/>
  <c r="O375" i="14"/>
  <c r="O376" i="14" s="1"/>
  <c r="O377" i="14" s="1"/>
  <c r="O314" i="6"/>
  <c r="M278" i="6" l="1"/>
  <c r="M279" i="6"/>
  <c r="M280" i="6"/>
  <c r="M281" i="6"/>
  <c r="M284" i="6"/>
  <c r="M285" i="6"/>
  <c r="N279" i="6"/>
  <c r="N280" i="6"/>
  <c r="N281" i="6"/>
  <c r="U193" i="6" l="1"/>
  <c r="V193" i="6"/>
  <c r="N179" i="6" l="1"/>
  <c r="M116" i="6" l="1"/>
  <c r="M117" i="6"/>
  <c r="M118" i="6"/>
  <c r="M119" i="6"/>
  <c r="M120" i="6"/>
  <c r="M174" i="6"/>
  <c r="N174" i="6" s="1"/>
  <c r="M13" i="6" l="1"/>
  <c r="M14" i="6"/>
  <c r="M15" i="6"/>
  <c r="M18" i="6"/>
  <c r="M19" i="6"/>
  <c r="M20" i="6"/>
  <c r="M21" i="6"/>
  <c r="M22" i="6"/>
  <c r="T43" i="6" l="1"/>
  <c r="U43" i="6" s="1"/>
  <c r="Q13" i="6"/>
  <c r="Q14" i="6" s="1"/>
  <c r="Q15" i="6" s="1"/>
  <c r="U102" i="6"/>
  <c r="Q132" i="6"/>
  <c r="N127" i="6"/>
  <c r="T102" i="6"/>
  <c r="Q43" i="6"/>
  <c r="Q18" i="6"/>
  <c r="Q19" i="6"/>
  <c r="Q20" i="6" s="1"/>
  <c r="Q21" i="6" s="1"/>
  <c r="Q22" i="6" s="1"/>
  <c r="R22" i="6" s="1"/>
  <c r="Q29" i="6"/>
  <c r="R29" i="6"/>
  <c r="R15" i="6" l="1"/>
  <c r="R36" i="6"/>
  <c r="R43" i="6"/>
  <c r="R50" i="6"/>
  <c r="R57" i="6"/>
  <c r="R71" i="6"/>
  <c r="R78" i="6"/>
  <c r="R85" i="6"/>
  <c r="R92" i="6"/>
  <c r="N85" i="6" l="1"/>
  <c r="N78" i="6"/>
  <c r="Q75" i="6" l="1"/>
  <c r="Q76" i="6" s="1"/>
  <c r="Q77" i="6" s="1"/>
  <c r="Q74" i="6"/>
  <c r="Q68" i="6"/>
  <c r="Q69" i="6" s="1"/>
  <c r="Q70" i="6" s="1"/>
  <c r="Q71" i="6" s="1"/>
  <c r="Q67" i="6"/>
  <c r="Q26" i="6"/>
  <c r="Q27" i="6" s="1"/>
  <c r="Q28" i="6" s="1"/>
  <c r="Q25" i="6"/>
  <c r="Q33" i="6"/>
  <c r="Q34" i="6" s="1"/>
  <c r="Q35" i="6" s="1"/>
  <c r="Q36" i="6" s="1"/>
  <c r="Q32" i="6"/>
  <c r="Q40" i="6"/>
  <c r="Q41" i="6" s="1"/>
  <c r="Q42" i="6" s="1"/>
  <c r="Q39" i="6"/>
  <c r="Q61" i="6"/>
  <c r="Q60" i="6"/>
  <c r="Q54" i="6"/>
  <c r="Q55" i="6" s="1"/>
  <c r="Q56" i="6" s="1"/>
  <c r="Q57" i="6" s="1"/>
  <c r="Q53" i="6"/>
  <c r="Q50" i="6"/>
  <c r="Q49" i="6"/>
  <c r="Q48" i="6"/>
  <c r="Q47" i="6"/>
  <c r="Q46" i="6"/>
  <c r="G60" i="6" l="1"/>
  <c r="M41" i="6" l="1"/>
  <c r="H112" i="6"/>
  <c r="H116" i="6"/>
  <c r="H117" i="6"/>
  <c r="H118" i="6"/>
  <c r="H119" i="6"/>
  <c r="H120" i="6"/>
  <c r="H125" i="6"/>
  <c r="H133" i="6"/>
  <c r="H134" i="6"/>
  <c r="H141" i="6"/>
  <c r="H154" i="6"/>
  <c r="H159" i="6"/>
  <c r="H167" i="6"/>
  <c r="H172" i="6"/>
  <c r="H173" i="6"/>
  <c r="H187" i="6"/>
  <c r="H208" i="6"/>
  <c r="H210" i="6"/>
  <c r="H230" i="6"/>
  <c r="H231" i="6"/>
  <c r="H232" i="6"/>
  <c r="H235" i="6"/>
  <c r="H236" i="6"/>
  <c r="H237" i="6"/>
  <c r="H238" i="6"/>
  <c r="H239" i="6"/>
  <c r="H242" i="6"/>
  <c r="H243" i="6"/>
  <c r="H244" i="6"/>
  <c r="H245" i="6"/>
  <c r="H246" i="6"/>
  <c r="H251" i="6"/>
  <c r="H263" i="6"/>
  <c r="H264" i="6"/>
  <c r="H277" i="6"/>
  <c r="H278" i="6"/>
  <c r="H279" i="6"/>
  <c r="H280" i="6"/>
  <c r="H288" i="6"/>
  <c r="H292" i="6"/>
  <c r="H293" i="6"/>
  <c r="H294" i="6"/>
  <c r="H295" i="6"/>
  <c r="H298" i="6"/>
  <c r="H299" i="6"/>
  <c r="H300" i="6"/>
  <c r="H301" i="6"/>
  <c r="H306" i="6"/>
  <c r="H307" i="6"/>
  <c r="H313" i="6"/>
  <c r="H314" i="6"/>
  <c r="H319" i="6"/>
  <c r="H322" i="6"/>
  <c r="H323" i="6"/>
  <c r="H326" i="6"/>
  <c r="H328" i="6"/>
  <c r="H337" i="6"/>
  <c r="H340" i="6"/>
  <c r="H341" i="6"/>
  <c r="H342" i="6"/>
  <c r="H343" i="6"/>
  <c r="H344" i="6"/>
  <c r="H350" i="6"/>
  <c r="H354" i="6"/>
  <c r="H358" i="6"/>
  <c r="H365" i="6"/>
  <c r="H368" i="6"/>
  <c r="H369" i="6"/>
  <c r="H370" i="6"/>
  <c r="H371" i="6"/>
  <c r="H372" i="6"/>
  <c r="H376" i="6"/>
  <c r="H377" i="6"/>
  <c r="H71" i="6"/>
  <c r="H76" i="6"/>
  <c r="H77" i="6"/>
  <c r="H39" i="6"/>
  <c r="H40" i="6"/>
  <c r="H41" i="6"/>
  <c r="H62" i="6"/>
  <c r="H63" i="6"/>
  <c r="H64" i="6"/>
  <c r="H19" i="6"/>
  <c r="H20" i="6"/>
  <c r="H21" i="6"/>
  <c r="H22" i="6"/>
  <c r="H25" i="6"/>
  <c r="H26" i="6"/>
  <c r="H27" i="6"/>
  <c r="H28" i="6"/>
  <c r="H29" i="6"/>
  <c r="M36" i="6"/>
  <c r="N36" i="6"/>
  <c r="H32" i="6"/>
  <c r="H33" i="6"/>
  <c r="H34" i="6"/>
  <c r="H35" i="6"/>
  <c r="H36" i="6"/>
  <c r="H41" i="13"/>
  <c r="G36" i="6"/>
  <c r="H14" i="12" l="1"/>
  <c r="P7" i="6" l="1"/>
  <c r="G17" i="6"/>
  <c r="H17" i="6" s="1"/>
  <c r="G18" i="6"/>
  <c r="H18" i="6" s="1"/>
  <c r="G19" i="6"/>
  <c r="G20" i="6"/>
  <c r="G21" i="6"/>
  <c r="G22" i="6"/>
  <c r="G23" i="6"/>
  <c r="G24" i="6"/>
  <c r="G25" i="6"/>
  <c r="G26" i="6"/>
  <c r="G16" i="6"/>
  <c r="H16" i="6" s="1"/>
  <c r="H22" i="13"/>
  <c r="H23" i="13"/>
  <c r="H24" i="13"/>
  <c r="H27" i="13"/>
  <c r="H28" i="13"/>
  <c r="H29" i="13"/>
  <c r="H30" i="13"/>
  <c r="M30" i="13" s="1"/>
  <c r="N30" i="13" s="1"/>
  <c r="H31" i="13"/>
  <c r="H34" i="13"/>
  <c r="H35" i="13"/>
  <c r="H36" i="13"/>
  <c r="H37" i="13"/>
  <c r="H38" i="13"/>
  <c r="H42" i="13"/>
  <c r="H43" i="13"/>
  <c r="H44" i="13"/>
  <c r="M44" i="13" s="1"/>
  <c r="N44" i="13" s="1"/>
  <c r="H45" i="13"/>
  <c r="H48" i="13"/>
  <c r="H49" i="13"/>
  <c r="H50" i="13"/>
  <c r="H51" i="13"/>
  <c r="H52" i="13"/>
  <c r="H55" i="13"/>
  <c r="H56" i="13"/>
  <c r="H57" i="13"/>
  <c r="H58" i="13"/>
  <c r="H59" i="13"/>
  <c r="H62" i="13"/>
  <c r="H63" i="13"/>
  <c r="H64" i="13"/>
  <c r="H65" i="13"/>
  <c r="H66" i="13"/>
  <c r="H69" i="13"/>
  <c r="H70" i="13"/>
  <c r="H71" i="13"/>
  <c r="H72" i="13"/>
  <c r="M72" i="13" s="1"/>
  <c r="N72" i="13" s="1"/>
  <c r="H73" i="13"/>
  <c r="H76" i="13"/>
  <c r="H77" i="13"/>
  <c r="H78" i="13"/>
  <c r="H79" i="13"/>
  <c r="H80" i="13"/>
  <c r="H83" i="13"/>
  <c r="H84" i="13"/>
  <c r="H85" i="13"/>
  <c r="H86" i="13"/>
  <c r="H87" i="13"/>
  <c r="H90" i="13"/>
  <c r="H92" i="13"/>
  <c r="H93" i="13"/>
  <c r="H94" i="13"/>
  <c r="H97" i="13"/>
  <c r="H98" i="13"/>
  <c r="H99" i="13"/>
  <c r="H100" i="13"/>
  <c r="H101" i="13"/>
  <c r="H104" i="13"/>
  <c r="H105" i="13"/>
  <c r="H106" i="13"/>
  <c r="H107" i="13"/>
  <c r="H108" i="13"/>
  <c r="H111" i="13"/>
  <c r="H112" i="13"/>
  <c r="H113" i="13"/>
  <c r="H114" i="13"/>
  <c r="H115" i="13"/>
  <c r="H118" i="13"/>
  <c r="H119" i="13"/>
  <c r="H120" i="13"/>
  <c r="H121" i="13"/>
  <c r="H122" i="13"/>
  <c r="H125" i="13"/>
  <c r="H126" i="13"/>
  <c r="H127" i="13"/>
  <c r="H128" i="13"/>
  <c r="H129" i="13"/>
  <c r="H132" i="13"/>
  <c r="H133" i="13"/>
  <c r="H134" i="13"/>
  <c r="H135" i="13"/>
  <c r="H136" i="13"/>
  <c r="H139" i="13"/>
  <c r="H140" i="13"/>
  <c r="H141" i="13"/>
  <c r="H142" i="13"/>
  <c r="H143" i="13"/>
  <c r="M143" i="13" s="1"/>
  <c r="N143" i="13" s="1"/>
  <c r="H146" i="13"/>
  <c r="H147" i="13"/>
  <c r="H148" i="13"/>
  <c r="H149" i="13"/>
  <c r="H150" i="13"/>
  <c r="H153" i="13"/>
  <c r="H154" i="13"/>
  <c r="H155" i="13"/>
  <c r="H156" i="13"/>
  <c r="H157" i="13"/>
  <c r="H160" i="13"/>
  <c r="H161" i="13"/>
  <c r="H162" i="13"/>
  <c r="H163" i="13"/>
  <c r="H164" i="13"/>
  <c r="H167" i="13"/>
  <c r="H168" i="13"/>
  <c r="H169" i="13"/>
  <c r="H170" i="13"/>
  <c r="H171" i="13"/>
  <c r="H174" i="13"/>
  <c r="H175" i="13"/>
  <c r="H176" i="13"/>
  <c r="H177" i="13"/>
  <c r="H178" i="13"/>
  <c r="H181" i="13"/>
  <c r="H182" i="13"/>
  <c r="H183" i="13"/>
  <c r="H184" i="13"/>
  <c r="H185" i="13"/>
  <c r="M185" i="13" s="1"/>
  <c r="N185" i="13" s="1"/>
  <c r="H188" i="13"/>
  <c r="H189" i="13"/>
  <c r="H190" i="13"/>
  <c r="H191" i="13"/>
  <c r="H192" i="13"/>
  <c r="H195" i="13"/>
  <c r="H196" i="13"/>
  <c r="H197" i="13"/>
  <c r="H198" i="13"/>
  <c r="H199" i="13"/>
  <c r="H202" i="13"/>
  <c r="H203" i="13"/>
  <c r="H204" i="13"/>
  <c r="H205" i="13"/>
  <c r="H206" i="13"/>
  <c r="H209" i="13"/>
  <c r="H210" i="13"/>
  <c r="H211" i="13"/>
  <c r="H212" i="13"/>
  <c r="H213" i="13"/>
  <c r="H216" i="13"/>
  <c r="H217" i="13"/>
  <c r="H218" i="13"/>
  <c r="H219" i="13"/>
  <c r="H220" i="13"/>
  <c r="H223" i="13"/>
  <c r="H224" i="13"/>
  <c r="H225" i="13"/>
  <c r="H226" i="13"/>
  <c r="H227" i="13"/>
  <c r="M227" i="13" s="1"/>
  <c r="N227" i="13" s="1"/>
  <c r="H230" i="13"/>
  <c r="H231" i="13"/>
  <c r="H232" i="13"/>
  <c r="H233" i="13"/>
  <c r="H234" i="13"/>
  <c r="H237" i="13"/>
  <c r="H238" i="13"/>
  <c r="H239" i="13"/>
  <c r="H240" i="13"/>
  <c r="H241" i="13"/>
  <c r="M241" i="13" s="1"/>
  <c r="N241" i="13" s="1"/>
  <c r="H244" i="13"/>
  <c r="H245" i="13"/>
  <c r="H246" i="13"/>
  <c r="H247" i="13"/>
  <c r="H248" i="13"/>
  <c r="H251" i="13"/>
  <c r="H252" i="13"/>
  <c r="H253" i="13"/>
  <c r="H254" i="13"/>
  <c r="H255" i="13"/>
  <c r="M255" i="13" s="1"/>
  <c r="N255" i="13" s="1"/>
  <c r="H258" i="13"/>
  <c r="H259" i="13"/>
  <c r="H260" i="13"/>
  <c r="H261" i="13"/>
  <c r="H262" i="13"/>
  <c r="H265" i="13"/>
  <c r="H266" i="13"/>
  <c r="H267" i="13"/>
  <c r="H268" i="13"/>
  <c r="M268" i="13" s="1"/>
  <c r="N268" i="13" s="1"/>
  <c r="H269" i="13"/>
  <c r="H272" i="13"/>
  <c r="H273" i="13"/>
  <c r="H274" i="13"/>
  <c r="H275" i="13"/>
  <c r="H276" i="13"/>
  <c r="H279" i="13"/>
  <c r="H280" i="13"/>
  <c r="H281" i="13"/>
  <c r="M281" i="13" s="1"/>
  <c r="N281" i="13" s="1"/>
  <c r="H282" i="13"/>
  <c r="H283" i="13"/>
  <c r="H286" i="13"/>
  <c r="H287" i="13"/>
  <c r="H288" i="13"/>
  <c r="H289" i="13"/>
  <c r="H290" i="13"/>
  <c r="H293" i="13"/>
  <c r="H294" i="13"/>
  <c r="H295" i="13"/>
  <c r="H296" i="13"/>
  <c r="M296" i="13" s="1"/>
  <c r="N296" i="13" s="1"/>
  <c r="H297" i="13"/>
  <c r="M297" i="13" s="1"/>
  <c r="N297" i="13" s="1"/>
  <c r="H300" i="13"/>
  <c r="H301" i="13"/>
  <c r="H302" i="13"/>
  <c r="H303" i="13"/>
  <c r="H304" i="13"/>
  <c r="H307" i="13"/>
  <c r="H308" i="13"/>
  <c r="H309" i="13"/>
  <c r="M309" i="13" s="1"/>
  <c r="N309" i="13" s="1"/>
  <c r="H310" i="13"/>
  <c r="H311" i="13"/>
  <c r="H314" i="13"/>
  <c r="M314" i="13" s="1"/>
  <c r="H315" i="13"/>
  <c r="H316" i="13"/>
  <c r="H317" i="13"/>
  <c r="H318" i="13"/>
  <c r="H321" i="13"/>
  <c r="H322" i="13"/>
  <c r="H323" i="13"/>
  <c r="H324" i="13"/>
  <c r="H325" i="13"/>
  <c r="M325" i="13" s="1"/>
  <c r="N325" i="13" s="1"/>
  <c r="H328" i="13"/>
  <c r="H329" i="13"/>
  <c r="H330" i="13"/>
  <c r="H331" i="13"/>
  <c r="H332" i="13"/>
  <c r="H335" i="13"/>
  <c r="H336" i="13"/>
  <c r="H337" i="13"/>
  <c r="M337" i="13" s="1"/>
  <c r="N337" i="13" s="1"/>
  <c r="H338" i="13"/>
  <c r="H339" i="13"/>
  <c r="H342" i="13"/>
  <c r="H343" i="13"/>
  <c r="H344" i="13"/>
  <c r="H345" i="13"/>
  <c r="H346" i="13"/>
  <c r="H349" i="13"/>
  <c r="H350" i="13"/>
  <c r="H351" i="13"/>
  <c r="H352" i="13"/>
  <c r="H353" i="13"/>
  <c r="H356" i="13"/>
  <c r="H357" i="13"/>
  <c r="H358" i="13"/>
  <c r="H359" i="13"/>
  <c r="H360" i="13"/>
  <c r="H363" i="13"/>
  <c r="H364" i="13"/>
  <c r="H365" i="13"/>
  <c r="H366" i="13"/>
  <c r="H367" i="13"/>
  <c r="M367" i="13" s="1"/>
  <c r="N367" i="13" s="1"/>
  <c r="H370" i="13"/>
  <c r="H371" i="13"/>
  <c r="H372" i="13"/>
  <c r="H373" i="13"/>
  <c r="H374" i="13"/>
  <c r="H377" i="13"/>
  <c r="H378" i="13"/>
  <c r="M66" i="13"/>
  <c r="N66" i="13" s="1"/>
  <c r="M106" i="13"/>
  <c r="N106" i="13" s="1"/>
  <c r="M156" i="13"/>
  <c r="N156" i="13" s="1"/>
  <c r="M216" i="13"/>
  <c r="M276" i="13"/>
  <c r="N276" i="13" s="1"/>
  <c r="M286" i="13"/>
  <c r="M357" i="13"/>
  <c r="N357" i="13" s="1"/>
  <c r="H14" i="13"/>
  <c r="H15" i="13"/>
  <c r="H16" i="13"/>
  <c r="H17" i="13"/>
  <c r="K377" i="6"/>
  <c r="G377" i="6"/>
  <c r="K378" i="13"/>
  <c r="G378" i="13"/>
  <c r="M378" i="13" s="1"/>
  <c r="N378" i="13" s="1"/>
  <c r="K377" i="13"/>
  <c r="G377" i="13"/>
  <c r="K374" i="13"/>
  <c r="G374" i="13"/>
  <c r="K373" i="13"/>
  <c r="M373" i="13"/>
  <c r="N373" i="13" s="1"/>
  <c r="G373" i="13"/>
  <c r="K372" i="13"/>
  <c r="G372" i="13"/>
  <c r="K371" i="13"/>
  <c r="G371" i="13"/>
  <c r="M371" i="13" s="1"/>
  <c r="N371" i="13" s="1"/>
  <c r="K370" i="13"/>
  <c r="G370" i="13"/>
  <c r="K367" i="13"/>
  <c r="G367" i="13"/>
  <c r="K366" i="13"/>
  <c r="G366" i="13"/>
  <c r="K365" i="13"/>
  <c r="G365" i="13"/>
  <c r="K364" i="13"/>
  <c r="G364" i="13"/>
  <c r="K363" i="13"/>
  <c r="M363" i="13"/>
  <c r="G363" i="13"/>
  <c r="K360" i="13"/>
  <c r="G360" i="13"/>
  <c r="M360" i="13" s="1"/>
  <c r="N360" i="13" s="1"/>
  <c r="K359" i="13"/>
  <c r="G359" i="13"/>
  <c r="M359" i="13" s="1"/>
  <c r="N359" i="13" s="1"/>
  <c r="K358" i="13"/>
  <c r="G358" i="13"/>
  <c r="M358" i="13" s="1"/>
  <c r="N358" i="13" s="1"/>
  <c r="K357" i="13"/>
  <c r="G357" i="13"/>
  <c r="K356" i="13"/>
  <c r="G356" i="13"/>
  <c r="K353" i="13"/>
  <c r="G353" i="13"/>
  <c r="K352" i="13"/>
  <c r="G352" i="13"/>
  <c r="K351" i="13"/>
  <c r="M351" i="13"/>
  <c r="N351" i="13" s="1"/>
  <c r="G351" i="13"/>
  <c r="K350" i="13"/>
  <c r="G350" i="13"/>
  <c r="M350" i="13" s="1"/>
  <c r="N350" i="13" s="1"/>
  <c r="P350" i="13" s="1"/>
  <c r="K349" i="13"/>
  <c r="G349" i="13"/>
  <c r="M349" i="13" s="1"/>
  <c r="N349" i="13" s="1"/>
  <c r="P349" i="13" s="1"/>
  <c r="K346" i="13"/>
  <c r="G346" i="13"/>
  <c r="K345" i="13"/>
  <c r="M345" i="13"/>
  <c r="N345" i="13" s="1"/>
  <c r="G345" i="13"/>
  <c r="K344" i="13"/>
  <c r="M344" i="13"/>
  <c r="N344" i="13" s="1"/>
  <c r="G344" i="13"/>
  <c r="K343" i="13"/>
  <c r="G343" i="13"/>
  <c r="M343" i="13" s="1"/>
  <c r="N343" i="13" s="1"/>
  <c r="K342" i="13"/>
  <c r="G342" i="13"/>
  <c r="M342" i="13" s="1"/>
  <c r="K339" i="13"/>
  <c r="G339" i="13"/>
  <c r="K338" i="13"/>
  <c r="M338" i="13"/>
  <c r="N338" i="13" s="1"/>
  <c r="G338" i="13"/>
  <c r="K337" i="13"/>
  <c r="G337" i="13"/>
  <c r="K336" i="13"/>
  <c r="G336" i="13"/>
  <c r="K335" i="13"/>
  <c r="G335" i="13"/>
  <c r="M335" i="13" s="1"/>
  <c r="K332" i="13"/>
  <c r="M332" i="13"/>
  <c r="N332" i="13" s="1"/>
  <c r="G332" i="13"/>
  <c r="N331" i="13"/>
  <c r="M331" i="13"/>
  <c r="K331" i="13"/>
  <c r="G331" i="13"/>
  <c r="K330" i="13"/>
  <c r="G330" i="13"/>
  <c r="M330" i="13" s="1"/>
  <c r="N330" i="13" s="1"/>
  <c r="K329" i="13"/>
  <c r="G329" i="13"/>
  <c r="M329" i="13" s="1"/>
  <c r="N329" i="13" s="1"/>
  <c r="K328" i="13"/>
  <c r="G328" i="13"/>
  <c r="M328" i="13" s="1"/>
  <c r="N328" i="13" s="1"/>
  <c r="K325" i="13"/>
  <c r="G325" i="13"/>
  <c r="K324" i="13"/>
  <c r="G324" i="13"/>
  <c r="K323" i="13"/>
  <c r="G323" i="13"/>
  <c r="K322" i="13"/>
  <c r="G322" i="13"/>
  <c r="M322" i="13" s="1"/>
  <c r="N322" i="13" s="1"/>
  <c r="K321" i="13"/>
  <c r="M321" i="13"/>
  <c r="G321" i="13"/>
  <c r="K318" i="13"/>
  <c r="G318" i="13"/>
  <c r="M318" i="13" s="1"/>
  <c r="N318" i="13" s="1"/>
  <c r="K317" i="13"/>
  <c r="G317" i="13"/>
  <c r="M317" i="13" s="1"/>
  <c r="N317" i="13" s="1"/>
  <c r="K316" i="13"/>
  <c r="G316" i="13"/>
  <c r="K315" i="13"/>
  <c r="M315" i="13"/>
  <c r="N315" i="13" s="1"/>
  <c r="G315" i="13"/>
  <c r="K314" i="13"/>
  <c r="G314" i="13"/>
  <c r="K311" i="13"/>
  <c r="G311" i="13"/>
  <c r="K310" i="13"/>
  <c r="G310" i="13"/>
  <c r="K309" i="13"/>
  <c r="G309" i="13"/>
  <c r="K308" i="13"/>
  <c r="G308" i="13"/>
  <c r="M308" i="13" s="1"/>
  <c r="N308" i="13" s="1"/>
  <c r="K307" i="13"/>
  <c r="G307" i="13"/>
  <c r="M307" i="13" s="1"/>
  <c r="K304" i="13"/>
  <c r="G304" i="13"/>
  <c r="M304" i="13" s="1"/>
  <c r="N304" i="13" s="1"/>
  <c r="K303" i="13"/>
  <c r="M303" i="13"/>
  <c r="N303" i="13" s="1"/>
  <c r="G303" i="13"/>
  <c r="K302" i="13"/>
  <c r="G302" i="13"/>
  <c r="M302" i="13" s="1"/>
  <c r="N302" i="13" s="1"/>
  <c r="K301" i="13"/>
  <c r="G301" i="13"/>
  <c r="M301" i="13" s="1"/>
  <c r="N301" i="13" s="1"/>
  <c r="K300" i="13"/>
  <c r="G300" i="13"/>
  <c r="M300" i="13" s="1"/>
  <c r="N300" i="13" s="1"/>
  <c r="P300" i="13" s="1"/>
  <c r="P301" i="13" s="1"/>
  <c r="K297" i="13"/>
  <c r="G297" i="13"/>
  <c r="K296" i="13"/>
  <c r="G296" i="13"/>
  <c r="K295" i="13"/>
  <c r="G295" i="13"/>
  <c r="K294" i="13"/>
  <c r="G294" i="13"/>
  <c r="M294" i="13" s="1"/>
  <c r="N294" i="13" s="1"/>
  <c r="K293" i="13"/>
  <c r="G293" i="13"/>
  <c r="M293" i="13" s="1"/>
  <c r="M290" i="13"/>
  <c r="N290" i="13" s="1"/>
  <c r="K290" i="13"/>
  <c r="G290" i="13"/>
  <c r="K289" i="13"/>
  <c r="G289" i="13"/>
  <c r="M289" i="13" s="1"/>
  <c r="N289" i="13" s="1"/>
  <c r="K288" i="13"/>
  <c r="M288" i="13" s="1"/>
  <c r="N288" i="13" s="1"/>
  <c r="G288" i="13"/>
  <c r="K287" i="13"/>
  <c r="G287" i="13"/>
  <c r="M287" i="13" s="1"/>
  <c r="N287" i="13" s="1"/>
  <c r="K286" i="13"/>
  <c r="G286" i="13"/>
  <c r="K283" i="13"/>
  <c r="G283" i="13"/>
  <c r="M282" i="13"/>
  <c r="N282" i="13" s="1"/>
  <c r="K282" i="13"/>
  <c r="G282" i="13"/>
  <c r="K281" i="13"/>
  <c r="G281" i="13"/>
  <c r="K280" i="13"/>
  <c r="M280" i="13"/>
  <c r="N280" i="13" s="1"/>
  <c r="G280" i="13"/>
  <c r="M279" i="13"/>
  <c r="K279" i="13"/>
  <c r="G279" i="13"/>
  <c r="K276" i="13"/>
  <c r="G276" i="13"/>
  <c r="K275" i="13"/>
  <c r="G275" i="13"/>
  <c r="K274" i="13"/>
  <c r="M274" i="13"/>
  <c r="N274" i="13" s="1"/>
  <c r="G274" i="13"/>
  <c r="M273" i="13"/>
  <c r="N273" i="13" s="1"/>
  <c r="K273" i="13"/>
  <c r="G273" i="13"/>
  <c r="K272" i="13"/>
  <c r="M272" i="13"/>
  <c r="G272" i="13"/>
  <c r="K269" i="13"/>
  <c r="G269" i="13"/>
  <c r="K268" i="13"/>
  <c r="G268" i="13"/>
  <c r="M267" i="13"/>
  <c r="N267" i="13" s="1"/>
  <c r="K267" i="13"/>
  <c r="G267" i="13"/>
  <c r="M266" i="13"/>
  <c r="N266" i="13" s="1"/>
  <c r="K266" i="13"/>
  <c r="G266" i="13"/>
  <c r="K265" i="13"/>
  <c r="G265" i="13"/>
  <c r="M265" i="13" s="1"/>
  <c r="K262" i="13"/>
  <c r="M262" i="13"/>
  <c r="N262" i="13" s="1"/>
  <c r="G262" i="13"/>
  <c r="M261" i="13"/>
  <c r="N261" i="13" s="1"/>
  <c r="K261" i="13"/>
  <c r="G261" i="13"/>
  <c r="K260" i="13"/>
  <c r="G260" i="13"/>
  <c r="M260" i="13" s="1"/>
  <c r="N260" i="13" s="1"/>
  <c r="K259" i="13"/>
  <c r="G259" i="13"/>
  <c r="M259" i="13" s="1"/>
  <c r="N259" i="13" s="1"/>
  <c r="K258" i="13"/>
  <c r="G258" i="13"/>
  <c r="M258" i="13" s="1"/>
  <c r="N258" i="13" s="1"/>
  <c r="K255" i="13"/>
  <c r="G255" i="13"/>
  <c r="K254" i="13"/>
  <c r="G254" i="13"/>
  <c r="K253" i="13"/>
  <c r="G253" i="13"/>
  <c r="K252" i="13"/>
  <c r="G252" i="13"/>
  <c r="M252" i="13" s="1"/>
  <c r="N252" i="13" s="1"/>
  <c r="K251" i="13"/>
  <c r="M251" i="13"/>
  <c r="G251" i="13"/>
  <c r="K248" i="13"/>
  <c r="M248" i="13"/>
  <c r="N248" i="13" s="1"/>
  <c r="G248" i="13"/>
  <c r="K247" i="13"/>
  <c r="G247" i="13"/>
  <c r="M247" i="13" s="1"/>
  <c r="N247" i="13" s="1"/>
  <c r="K246" i="13"/>
  <c r="G246" i="13"/>
  <c r="K245" i="13"/>
  <c r="M245" i="13"/>
  <c r="N245" i="13" s="1"/>
  <c r="G245" i="13"/>
  <c r="K244" i="13"/>
  <c r="G244" i="13"/>
  <c r="M244" i="13" s="1"/>
  <c r="K241" i="13"/>
  <c r="G241" i="13"/>
  <c r="K240" i="13"/>
  <c r="G240" i="13"/>
  <c r="M240" i="13" s="1"/>
  <c r="N240" i="13" s="1"/>
  <c r="K239" i="13"/>
  <c r="M239" i="13" s="1"/>
  <c r="N239" i="13" s="1"/>
  <c r="G239" i="13"/>
  <c r="K238" i="13"/>
  <c r="G238" i="13"/>
  <c r="M238" i="13" s="1"/>
  <c r="K237" i="13"/>
  <c r="G237" i="13"/>
  <c r="M237" i="13" s="1"/>
  <c r="N237" i="13" s="1"/>
  <c r="P237" i="13" s="1"/>
  <c r="K234" i="13"/>
  <c r="G234" i="13"/>
  <c r="M234" i="13" s="1"/>
  <c r="N234" i="13" s="1"/>
  <c r="K233" i="13"/>
  <c r="M233" i="13"/>
  <c r="N233" i="13" s="1"/>
  <c r="G233" i="13"/>
  <c r="K232" i="13"/>
  <c r="G232" i="13"/>
  <c r="M232" i="13" s="1"/>
  <c r="N232" i="13" s="1"/>
  <c r="K231" i="13"/>
  <c r="G231" i="13"/>
  <c r="M231" i="13" s="1"/>
  <c r="N231" i="13" s="1"/>
  <c r="K230" i="13"/>
  <c r="G230" i="13"/>
  <c r="M230" i="13" s="1"/>
  <c r="K227" i="13"/>
  <c r="G227" i="13"/>
  <c r="K226" i="13"/>
  <c r="G226" i="13"/>
  <c r="K225" i="13"/>
  <c r="G225" i="13"/>
  <c r="K224" i="13"/>
  <c r="G224" i="13"/>
  <c r="M224" i="13" s="1"/>
  <c r="N224" i="13" s="1"/>
  <c r="K223" i="13"/>
  <c r="M223" i="13"/>
  <c r="G223" i="13"/>
  <c r="K220" i="13"/>
  <c r="G220" i="13"/>
  <c r="M220" i="13" s="1"/>
  <c r="N220" i="13" s="1"/>
  <c r="K219" i="13"/>
  <c r="G219" i="13"/>
  <c r="M219" i="13" s="1"/>
  <c r="N219" i="13" s="1"/>
  <c r="M218" i="13"/>
  <c r="N218" i="13" s="1"/>
  <c r="K218" i="13"/>
  <c r="G218" i="13"/>
  <c r="K217" i="13"/>
  <c r="G217" i="13"/>
  <c r="M217" i="13" s="1"/>
  <c r="N217" i="13" s="1"/>
  <c r="K216" i="13"/>
  <c r="G216" i="13"/>
  <c r="K213" i="13"/>
  <c r="G213" i="13"/>
  <c r="K212" i="13"/>
  <c r="G212" i="13"/>
  <c r="M212" i="13" s="1"/>
  <c r="N212" i="13" s="1"/>
  <c r="K211" i="13"/>
  <c r="G211" i="13"/>
  <c r="K210" i="13"/>
  <c r="M210" i="13"/>
  <c r="N210" i="13" s="1"/>
  <c r="G210" i="13"/>
  <c r="K209" i="13"/>
  <c r="M209" i="13"/>
  <c r="G209" i="13"/>
  <c r="K206" i="13"/>
  <c r="G206" i="13"/>
  <c r="K205" i="13"/>
  <c r="G205" i="13"/>
  <c r="M205" i="13" s="1"/>
  <c r="N205" i="13" s="1"/>
  <c r="K204" i="13"/>
  <c r="G204" i="13"/>
  <c r="M204" i="13" s="1"/>
  <c r="N204" i="13" s="1"/>
  <c r="K203" i="13"/>
  <c r="M203" i="13"/>
  <c r="N203" i="13" s="1"/>
  <c r="G203" i="13"/>
  <c r="K202" i="13"/>
  <c r="M202" i="13"/>
  <c r="G202" i="13"/>
  <c r="K199" i="13"/>
  <c r="G199" i="13"/>
  <c r="K198" i="13"/>
  <c r="G198" i="13"/>
  <c r="M197" i="13"/>
  <c r="N197" i="13" s="1"/>
  <c r="K197" i="13"/>
  <c r="G197" i="13"/>
  <c r="K196" i="13"/>
  <c r="G196" i="13"/>
  <c r="K195" i="13"/>
  <c r="G195" i="13"/>
  <c r="M195" i="13" s="1"/>
  <c r="K192" i="13"/>
  <c r="G192" i="13"/>
  <c r="M192" i="13" s="1"/>
  <c r="N192" i="13" s="1"/>
  <c r="M191" i="13"/>
  <c r="N191" i="13" s="1"/>
  <c r="K191" i="13"/>
  <c r="G191" i="13"/>
  <c r="K190" i="13"/>
  <c r="G190" i="13"/>
  <c r="M190" i="13" s="1"/>
  <c r="N190" i="13" s="1"/>
  <c r="K189" i="13"/>
  <c r="G189" i="13"/>
  <c r="M189" i="13" s="1"/>
  <c r="N189" i="13" s="1"/>
  <c r="K188" i="13"/>
  <c r="G188" i="13"/>
  <c r="M188" i="13" s="1"/>
  <c r="K185" i="13"/>
  <c r="G185" i="13"/>
  <c r="K184" i="13"/>
  <c r="G184" i="13"/>
  <c r="M184" i="13" s="1"/>
  <c r="N184" i="13" s="1"/>
  <c r="K183" i="13"/>
  <c r="G183" i="13"/>
  <c r="M183" i="13" s="1"/>
  <c r="N183" i="13" s="1"/>
  <c r="K182" i="13"/>
  <c r="G182" i="13"/>
  <c r="M182" i="13" s="1"/>
  <c r="N182" i="13" s="1"/>
  <c r="K181" i="13"/>
  <c r="M181" i="13"/>
  <c r="G181" i="13"/>
  <c r="K178" i="13"/>
  <c r="G178" i="13"/>
  <c r="M178" i="13" s="1"/>
  <c r="N178" i="13" s="1"/>
  <c r="K177" i="13"/>
  <c r="G177" i="13"/>
  <c r="M177" i="13" s="1"/>
  <c r="N177" i="13" s="1"/>
  <c r="K176" i="13"/>
  <c r="G176" i="13"/>
  <c r="K175" i="13"/>
  <c r="M175" i="13" s="1"/>
  <c r="N175" i="13" s="1"/>
  <c r="G175" i="13"/>
  <c r="K174" i="13"/>
  <c r="G174" i="13"/>
  <c r="K171" i="13"/>
  <c r="G171" i="13"/>
  <c r="K170" i="13"/>
  <c r="G170" i="13"/>
  <c r="K169" i="13"/>
  <c r="M169" i="13"/>
  <c r="N169" i="13" s="1"/>
  <c r="G169" i="13"/>
  <c r="K168" i="13"/>
  <c r="M168" i="13"/>
  <c r="N168" i="13" s="1"/>
  <c r="G168" i="13"/>
  <c r="K167" i="13"/>
  <c r="G167" i="13"/>
  <c r="M167" i="13" s="1"/>
  <c r="N164" i="13"/>
  <c r="K164" i="13"/>
  <c r="G164" i="13"/>
  <c r="M164" i="13" s="1"/>
  <c r="K163" i="13"/>
  <c r="G163" i="13"/>
  <c r="M163" i="13" s="1"/>
  <c r="N163" i="13" s="1"/>
  <c r="K162" i="13"/>
  <c r="G162" i="13"/>
  <c r="K161" i="13"/>
  <c r="G161" i="13"/>
  <c r="M161" i="13" s="1"/>
  <c r="N161" i="13" s="1"/>
  <c r="K160" i="13"/>
  <c r="M160" i="13" s="1"/>
  <c r="G160" i="13"/>
  <c r="K157" i="13"/>
  <c r="G157" i="13"/>
  <c r="K156" i="13"/>
  <c r="G156" i="13"/>
  <c r="K155" i="13"/>
  <c r="M155" i="13"/>
  <c r="N155" i="13" s="1"/>
  <c r="G155" i="13"/>
  <c r="K154" i="13"/>
  <c r="G154" i="13"/>
  <c r="M154" i="13" s="1"/>
  <c r="N154" i="13" s="1"/>
  <c r="K153" i="13"/>
  <c r="G153" i="13"/>
  <c r="M153" i="13" s="1"/>
  <c r="K150" i="13"/>
  <c r="M150" i="13"/>
  <c r="N150" i="13" s="1"/>
  <c r="G150" i="13"/>
  <c r="M149" i="13"/>
  <c r="N149" i="13" s="1"/>
  <c r="K149" i="13"/>
  <c r="G149" i="13"/>
  <c r="K148" i="13"/>
  <c r="M148" i="13"/>
  <c r="N148" i="13" s="1"/>
  <c r="G148" i="13"/>
  <c r="K147" i="13"/>
  <c r="G147" i="13"/>
  <c r="M147" i="13" s="1"/>
  <c r="N147" i="13" s="1"/>
  <c r="K146" i="13"/>
  <c r="G146" i="13"/>
  <c r="K143" i="13"/>
  <c r="G143" i="13"/>
  <c r="K142" i="13"/>
  <c r="G142" i="13"/>
  <c r="M142" i="13" s="1"/>
  <c r="N142" i="13" s="1"/>
  <c r="K141" i="13"/>
  <c r="M141" i="13"/>
  <c r="N141" i="13" s="1"/>
  <c r="G141" i="13"/>
  <c r="K140" i="13"/>
  <c r="G140" i="13"/>
  <c r="M140" i="13" s="1"/>
  <c r="N140" i="13" s="1"/>
  <c r="K139" i="13"/>
  <c r="G139" i="13"/>
  <c r="M139" i="13" s="1"/>
  <c r="K136" i="13"/>
  <c r="G136" i="13"/>
  <c r="K135" i="13"/>
  <c r="G135" i="13"/>
  <c r="M135" i="13" s="1"/>
  <c r="N135" i="13" s="1"/>
  <c r="N134" i="13"/>
  <c r="K134" i="13"/>
  <c r="G134" i="13"/>
  <c r="K133" i="13"/>
  <c r="M133" i="13"/>
  <c r="N133" i="13" s="1"/>
  <c r="G133" i="13"/>
  <c r="K132" i="13"/>
  <c r="G132" i="13"/>
  <c r="M132" i="13" s="1"/>
  <c r="K129" i="13"/>
  <c r="G129" i="13"/>
  <c r="M129" i="13" s="1"/>
  <c r="N129" i="13" s="1"/>
  <c r="K128" i="13"/>
  <c r="G128" i="13"/>
  <c r="M128" i="13" s="1"/>
  <c r="N128" i="13" s="1"/>
  <c r="K127" i="13"/>
  <c r="M127" i="13" s="1"/>
  <c r="N127" i="13" s="1"/>
  <c r="G127" i="13"/>
  <c r="K126" i="13"/>
  <c r="G126" i="13"/>
  <c r="M126" i="13" s="1"/>
  <c r="N126" i="13" s="1"/>
  <c r="K125" i="13"/>
  <c r="G125" i="13"/>
  <c r="K122" i="13"/>
  <c r="M122" i="13"/>
  <c r="N122" i="13" s="1"/>
  <c r="G122" i="13"/>
  <c r="K121" i="13"/>
  <c r="G121" i="13"/>
  <c r="M121" i="13" s="1"/>
  <c r="N121" i="13" s="1"/>
  <c r="K120" i="13"/>
  <c r="G120" i="13"/>
  <c r="M120" i="13" s="1"/>
  <c r="N120" i="13" s="1"/>
  <c r="K119" i="13"/>
  <c r="G119" i="13"/>
  <c r="M119" i="13" s="1"/>
  <c r="N119" i="13" s="1"/>
  <c r="K118" i="13"/>
  <c r="M118" i="13"/>
  <c r="G118" i="13"/>
  <c r="K115" i="13"/>
  <c r="G115" i="13"/>
  <c r="K114" i="13"/>
  <c r="M114" i="13" s="1"/>
  <c r="N114" i="13" s="1"/>
  <c r="G114" i="13"/>
  <c r="K113" i="13"/>
  <c r="G113" i="13"/>
  <c r="M113" i="13" s="1"/>
  <c r="N113" i="13" s="1"/>
  <c r="K112" i="13"/>
  <c r="M112" i="13"/>
  <c r="N112" i="13" s="1"/>
  <c r="G112" i="13"/>
  <c r="M111" i="13"/>
  <c r="N111" i="13" s="1"/>
  <c r="P111" i="13" s="1"/>
  <c r="P112" i="13" s="1"/>
  <c r="P113" i="13" s="1"/>
  <c r="K111" i="13"/>
  <c r="G111" i="13"/>
  <c r="K108" i="13"/>
  <c r="G108" i="13"/>
  <c r="M108" i="13" s="1"/>
  <c r="N108" i="13" s="1"/>
  <c r="K107" i="13"/>
  <c r="G107" i="13"/>
  <c r="M107" i="13" s="1"/>
  <c r="N107" i="13" s="1"/>
  <c r="K106" i="13"/>
  <c r="G106" i="13"/>
  <c r="K105" i="13"/>
  <c r="M105" i="13"/>
  <c r="N105" i="13" s="1"/>
  <c r="G105" i="13"/>
  <c r="K104" i="13"/>
  <c r="G104" i="13"/>
  <c r="M104" i="13" s="1"/>
  <c r="K101" i="13"/>
  <c r="G101" i="13"/>
  <c r="M100" i="13"/>
  <c r="N100" i="13" s="1"/>
  <c r="K100" i="13"/>
  <c r="G100" i="13"/>
  <c r="K99" i="13"/>
  <c r="G99" i="13"/>
  <c r="M99" i="13" s="1"/>
  <c r="N99" i="13" s="1"/>
  <c r="K98" i="13"/>
  <c r="G98" i="13"/>
  <c r="M98" i="13" s="1"/>
  <c r="N98" i="13" s="1"/>
  <c r="K97" i="13"/>
  <c r="G97" i="13"/>
  <c r="M97" i="13" s="1"/>
  <c r="K94" i="13"/>
  <c r="M94" i="13"/>
  <c r="N94" i="13" s="1"/>
  <c r="G94" i="13"/>
  <c r="K93" i="13"/>
  <c r="G93" i="13"/>
  <c r="M93" i="13" s="1"/>
  <c r="N93" i="13" s="1"/>
  <c r="K92" i="13"/>
  <c r="M92" i="13" s="1"/>
  <c r="N92" i="13" s="1"/>
  <c r="G92" i="13"/>
  <c r="K91" i="13"/>
  <c r="M91" i="13" s="1"/>
  <c r="N91" i="13" s="1"/>
  <c r="G91" i="13"/>
  <c r="K90" i="13"/>
  <c r="G90" i="13"/>
  <c r="M90" i="13" s="1"/>
  <c r="K87" i="13"/>
  <c r="M87" i="13"/>
  <c r="N87" i="13" s="1"/>
  <c r="G87" i="13"/>
  <c r="K86" i="13"/>
  <c r="G86" i="13"/>
  <c r="K85" i="13"/>
  <c r="G85" i="13"/>
  <c r="M85" i="13" s="1"/>
  <c r="N85" i="13" s="1"/>
  <c r="K84" i="13"/>
  <c r="G84" i="13"/>
  <c r="M84" i="13" s="1"/>
  <c r="N84" i="13" s="1"/>
  <c r="K83" i="13"/>
  <c r="G83" i="13"/>
  <c r="M83" i="13" s="1"/>
  <c r="N83" i="13" s="1"/>
  <c r="K80" i="13"/>
  <c r="G80" i="13"/>
  <c r="M80" i="13" s="1"/>
  <c r="N80" i="13" s="1"/>
  <c r="K79" i="13"/>
  <c r="M79" i="13"/>
  <c r="N79" i="13" s="1"/>
  <c r="G79" i="13"/>
  <c r="K78" i="13"/>
  <c r="G78" i="13"/>
  <c r="M78" i="13" s="1"/>
  <c r="N78" i="13" s="1"/>
  <c r="M77" i="13"/>
  <c r="N77" i="13" s="1"/>
  <c r="K77" i="13"/>
  <c r="G77" i="13"/>
  <c r="K76" i="13"/>
  <c r="G76" i="13"/>
  <c r="K73" i="13"/>
  <c r="G73" i="13"/>
  <c r="M73" i="13" s="1"/>
  <c r="N73" i="13" s="1"/>
  <c r="K72" i="13"/>
  <c r="G72" i="13"/>
  <c r="K71" i="13"/>
  <c r="G71" i="13"/>
  <c r="M71" i="13" s="1"/>
  <c r="N71" i="13" s="1"/>
  <c r="K70" i="13"/>
  <c r="G70" i="13"/>
  <c r="M70" i="13" s="1"/>
  <c r="N70" i="13" s="1"/>
  <c r="M69" i="13"/>
  <c r="N69" i="13" s="1"/>
  <c r="K69" i="13"/>
  <c r="G69" i="13"/>
  <c r="K66" i="13"/>
  <c r="G66" i="13"/>
  <c r="K65" i="13"/>
  <c r="G65" i="13"/>
  <c r="M65" i="13" s="1"/>
  <c r="N65" i="13" s="1"/>
  <c r="K64" i="13"/>
  <c r="M64" i="13"/>
  <c r="N64" i="13" s="1"/>
  <c r="G64" i="13"/>
  <c r="K63" i="13"/>
  <c r="G63" i="13"/>
  <c r="K62" i="13"/>
  <c r="G62" i="13"/>
  <c r="M62" i="13" s="1"/>
  <c r="N62" i="13" s="1"/>
  <c r="P62" i="13" s="1"/>
  <c r="M59" i="13"/>
  <c r="N59" i="13" s="1"/>
  <c r="K59" i="13"/>
  <c r="G59" i="13"/>
  <c r="K58" i="13"/>
  <c r="G58" i="13"/>
  <c r="K57" i="13"/>
  <c r="G57" i="13"/>
  <c r="M57" i="13" s="1"/>
  <c r="N57" i="13" s="1"/>
  <c r="K56" i="13"/>
  <c r="G56" i="13"/>
  <c r="M56" i="13" s="1"/>
  <c r="N56" i="13" s="1"/>
  <c r="K55" i="13"/>
  <c r="G55" i="13"/>
  <c r="M55" i="13" s="1"/>
  <c r="N55" i="13" s="1"/>
  <c r="N52" i="13"/>
  <c r="K52" i="13"/>
  <c r="G52" i="13"/>
  <c r="M52" i="13" s="1"/>
  <c r="K51" i="13"/>
  <c r="G51" i="13"/>
  <c r="M51" i="13" s="1"/>
  <c r="N51" i="13" s="1"/>
  <c r="K50" i="13"/>
  <c r="G50" i="13"/>
  <c r="M50" i="13" s="1"/>
  <c r="N50" i="13" s="1"/>
  <c r="M49" i="13"/>
  <c r="N49" i="13" s="1"/>
  <c r="K49" i="13"/>
  <c r="G49" i="13"/>
  <c r="K48" i="13"/>
  <c r="M48" i="13"/>
  <c r="N48" i="13" s="1"/>
  <c r="G48" i="13"/>
  <c r="K45" i="13"/>
  <c r="G45" i="13"/>
  <c r="M45" i="13" s="1"/>
  <c r="N45" i="13" s="1"/>
  <c r="K44" i="13"/>
  <c r="G44" i="13"/>
  <c r="K43" i="13"/>
  <c r="G43" i="13"/>
  <c r="M43" i="13" s="1"/>
  <c r="N43" i="13" s="1"/>
  <c r="K42" i="13"/>
  <c r="G42" i="13"/>
  <c r="M42" i="13" s="1"/>
  <c r="N42" i="13" s="1"/>
  <c r="M41" i="13"/>
  <c r="N41" i="13" s="1"/>
  <c r="P41" i="13" s="1"/>
  <c r="K41" i="13"/>
  <c r="G41" i="13"/>
  <c r="K38" i="13"/>
  <c r="G38" i="13"/>
  <c r="M38" i="13" s="1"/>
  <c r="N38" i="13" s="1"/>
  <c r="K37" i="13"/>
  <c r="G37" i="13"/>
  <c r="M37" i="13" s="1"/>
  <c r="N37" i="13" s="1"/>
  <c r="K36" i="13"/>
  <c r="G36" i="13"/>
  <c r="K35" i="13"/>
  <c r="M35" i="13"/>
  <c r="N35" i="13" s="1"/>
  <c r="G35" i="13"/>
  <c r="K34" i="13"/>
  <c r="G34" i="13"/>
  <c r="M34" i="13" s="1"/>
  <c r="N34" i="13" s="1"/>
  <c r="K31" i="13"/>
  <c r="G31" i="13"/>
  <c r="M31" i="13" s="1"/>
  <c r="N31" i="13" s="1"/>
  <c r="K30" i="13"/>
  <c r="G30" i="13"/>
  <c r="K29" i="13"/>
  <c r="G29" i="13"/>
  <c r="M29" i="13" s="1"/>
  <c r="N29" i="13" s="1"/>
  <c r="K28" i="13"/>
  <c r="G28" i="13"/>
  <c r="M28" i="13" s="1"/>
  <c r="N28" i="13" s="1"/>
  <c r="K27" i="13"/>
  <c r="M27" i="13" s="1"/>
  <c r="N27" i="13" s="1"/>
  <c r="O27" i="13" s="1"/>
  <c r="G27" i="13"/>
  <c r="K24" i="13"/>
  <c r="G24" i="13"/>
  <c r="M24" i="13" s="1"/>
  <c r="N24" i="13" s="1"/>
  <c r="K23" i="13"/>
  <c r="G23" i="13"/>
  <c r="M23" i="13" s="1"/>
  <c r="N23" i="13" s="1"/>
  <c r="M22" i="13"/>
  <c r="N22" i="13" s="1"/>
  <c r="K22" i="13"/>
  <c r="G22" i="13"/>
  <c r="K21" i="13"/>
  <c r="G21" i="13"/>
  <c r="K20" i="13"/>
  <c r="G20" i="13"/>
  <c r="H20" i="13" s="1"/>
  <c r="M20" i="13" s="1"/>
  <c r="N20" i="13" s="1"/>
  <c r="O20" i="13" s="1"/>
  <c r="K17" i="13"/>
  <c r="G17" i="13"/>
  <c r="M17" i="13" s="1"/>
  <c r="N17" i="13" s="1"/>
  <c r="K16" i="13"/>
  <c r="M16" i="13"/>
  <c r="N16" i="13" s="1"/>
  <c r="G16" i="13"/>
  <c r="K15" i="13"/>
  <c r="G15" i="13"/>
  <c r="M15" i="13" s="1"/>
  <c r="N15" i="13" s="1"/>
  <c r="K14" i="13"/>
  <c r="G14" i="13"/>
  <c r="M14" i="13" s="1"/>
  <c r="N14" i="13" s="1"/>
  <c r="K13" i="13"/>
  <c r="G13" i="13"/>
  <c r="H13" i="13" s="1"/>
  <c r="M377" i="6" l="1"/>
  <c r="N377" i="6" s="1"/>
  <c r="H21" i="13"/>
  <c r="M21" i="13" s="1"/>
  <c r="N21" i="13" s="1"/>
  <c r="O21" i="13" s="1"/>
  <c r="O22" i="13" s="1"/>
  <c r="O23" i="13" s="1"/>
  <c r="O24" i="13" s="1"/>
  <c r="M213" i="13"/>
  <c r="N213" i="13" s="1"/>
  <c r="M295" i="13"/>
  <c r="N295" i="13" s="1"/>
  <c r="P351" i="13"/>
  <c r="P352" i="13" s="1"/>
  <c r="M283" i="13"/>
  <c r="N283" i="13" s="1"/>
  <c r="M198" i="13"/>
  <c r="N198" i="13" s="1"/>
  <c r="M339" i="13"/>
  <c r="N339" i="13" s="1"/>
  <c r="M171" i="13"/>
  <c r="N171" i="13" s="1"/>
  <c r="M58" i="13"/>
  <c r="N58" i="13" s="1"/>
  <c r="M310" i="13"/>
  <c r="N310" i="13" s="1"/>
  <c r="M323" i="13"/>
  <c r="N323" i="13" s="1"/>
  <c r="M352" i="13"/>
  <c r="N352" i="13" s="1"/>
  <c r="P42" i="13"/>
  <c r="P43" i="13" s="1"/>
  <c r="M101" i="13"/>
  <c r="N101" i="13" s="1"/>
  <c r="M199" i="13"/>
  <c r="N199" i="13" s="1"/>
  <c r="M211" i="13"/>
  <c r="N211" i="13" s="1"/>
  <c r="M253" i="13"/>
  <c r="N253" i="13" s="1"/>
  <c r="M269" i="13"/>
  <c r="N269" i="13" s="1"/>
  <c r="P302" i="13"/>
  <c r="P303" i="13" s="1"/>
  <c r="P304" i="13" s="1"/>
  <c r="M311" i="13"/>
  <c r="N311" i="13" s="1"/>
  <c r="M324" i="13"/>
  <c r="N324" i="13" s="1"/>
  <c r="M254" i="13"/>
  <c r="N254" i="13" s="1"/>
  <c r="M115" i="13"/>
  <c r="N115" i="13" s="1"/>
  <c r="M157" i="13"/>
  <c r="N157" i="13" s="1"/>
  <c r="M225" i="13"/>
  <c r="N225" i="13" s="1"/>
  <c r="P328" i="13"/>
  <c r="P329" i="13" s="1"/>
  <c r="P330" i="13" s="1"/>
  <c r="P331" i="13" s="1"/>
  <c r="P332" i="13" s="1"/>
  <c r="O328" i="13"/>
  <c r="O329" i="13" s="1"/>
  <c r="O330" i="13" s="1"/>
  <c r="O331" i="13" s="1"/>
  <c r="O332" i="13" s="1"/>
  <c r="M136" i="13"/>
  <c r="N136" i="13" s="1"/>
  <c r="M196" i="13"/>
  <c r="N196" i="13" s="1"/>
  <c r="M366" i="13"/>
  <c r="N366" i="13" s="1"/>
  <c r="M316" i="13"/>
  <c r="N316" i="13" s="1"/>
  <c r="M356" i="13"/>
  <c r="N356" i="13" s="1"/>
  <c r="M226" i="13"/>
  <c r="N226" i="13" s="1"/>
  <c r="M146" i="13"/>
  <c r="Q150" i="13" s="1"/>
  <c r="R150" i="13" s="1"/>
  <c r="M374" i="13"/>
  <c r="N374" i="13" s="1"/>
  <c r="M246" i="13"/>
  <c r="N246" i="13" s="1"/>
  <c r="M364" i="13"/>
  <c r="N364" i="13" s="1"/>
  <c r="M377" i="13"/>
  <c r="M176" i="13"/>
  <c r="N176" i="13" s="1"/>
  <c r="M336" i="13"/>
  <c r="N336" i="13" s="1"/>
  <c r="M346" i="13"/>
  <c r="N346" i="13" s="1"/>
  <c r="M76" i="13"/>
  <c r="N76" i="13" s="1"/>
  <c r="M36" i="13"/>
  <c r="N36" i="13" s="1"/>
  <c r="M365" i="13"/>
  <c r="N365" i="13" s="1"/>
  <c r="M206" i="13"/>
  <c r="N206" i="13" s="1"/>
  <c r="M275" i="13"/>
  <c r="N275" i="13" s="1"/>
  <c r="M353" i="13"/>
  <c r="M372" i="13"/>
  <c r="N372" i="13" s="1"/>
  <c r="M13" i="13"/>
  <c r="N13" i="13" s="1"/>
  <c r="O13" i="13" s="1"/>
  <c r="O14" i="13" s="1"/>
  <c r="Q115" i="13"/>
  <c r="R115" i="13" s="1"/>
  <c r="N97" i="13"/>
  <c r="N160" i="13"/>
  <c r="N195" i="13"/>
  <c r="O69" i="13"/>
  <c r="O70" i="13" s="1"/>
  <c r="O71" i="13" s="1"/>
  <c r="O72" i="13" s="1"/>
  <c r="O73" i="13" s="1"/>
  <c r="P69" i="13"/>
  <c r="P70" i="13" s="1"/>
  <c r="P71" i="13" s="1"/>
  <c r="P72" i="13" s="1"/>
  <c r="P73" i="13" s="1"/>
  <c r="P114" i="13"/>
  <c r="P115" i="13" s="1"/>
  <c r="P44" i="13"/>
  <c r="P45" i="13" s="1"/>
  <c r="P76" i="13"/>
  <c r="P77" i="13" s="1"/>
  <c r="P78" i="13" s="1"/>
  <c r="P79" i="13" s="1"/>
  <c r="P80" i="13" s="1"/>
  <c r="O76" i="13"/>
  <c r="O77" i="13" s="1"/>
  <c r="O78" i="13" s="1"/>
  <c r="O79" i="13" s="1"/>
  <c r="O80" i="13" s="1"/>
  <c r="O28" i="13"/>
  <c r="O29" i="13" s="1"/>
  <c r="O30" i="13" s="1"/>
  <c r="O31" i="13" s="1"/>
  <c r="N132" i="13"/>
  <c r="O48" i="13"/>
  <c r="O49" i="13" s="1"/>
  <c r="O50" i="13" s="1"/>
  <c r="O51" i="13" s="1"/>
  <c r="O52" i="13" s="1"/>
  <c r="P48" i="13"/>
  <c r="P49" i="13" s="1"/>
  <c r="P50" i="13" s="1"/>
  <c r="P51" i="13" s="1"/>
  <c r="P52" i="13" s="1"/>
  <c r="P55" i="13"/>
  <c r="P56" i="13" s="1"/>
  <c r="P57" i="13" s="1"/>
  <c r="P58" i="13" s="1"/>
  <c r="P59" i="13" s="1"/>
  <c r="O55" i="13"/>
  <c r="O56" i="13" s="1"/>
  <c r="O57" i="13" s="1"/>
  <c r="O58" i="13" s="1"/>
  <c r="O59" i="13" s="1"/>
  <c r="P34" i="13"/>
  <c r="P35" i="13" s="1"/>
  <c r="O34" i="13"/>
  <c r="O35" i="13" s="1"/>
  <c r="P83" i="13"/>
  <c r="P84" i="13" s="1"/>
  <c r="P85" i="13" s="1"/>
  <c r="P86" i="13" s="1"/>
  <c r="P87" i="13" s="1"/>
  <c r="O83" i="13"/>
  <c r="O84" i="13" s="1"/>
  <c r="O85" i="13" s="1"/>
  <c r="M86" i="13"/>
  <c r="N86" i="13" s="1"/>
  <c r="N251" i="13"/>
  <c r="N307" i="13"/>
  <c r="Q234" i="13"/>
  <c r="R234" i="13" s="1"/>
  <c r="N230" i="13"/>
  <c r="O111" i="13"/>
  <c r="O112" i="13" s="1"/>
  <c r="O113" i="13" s="1"/>
  <c r="O114" i="13" s="1"/>
  <c r="O115" i="13" s="1"/>
  <c r="Q360" i="13"/>
  <c r="R360" i="13" s="1"/>
  <c r="N118" i="13"/>
  <c r="Q122" i="13"/>
  <c r="R122" i="13" s="1"/>
  <c r="Q220" i="13"/>
  <c r="R220" i="13" s="1"/>
  <c r="N216" i="13"/>
  <c r="P258" i="13"/>
  <c r="P259" i="13" s="1"/>
  <c r="P260" i="13" s="1"/>
  <c r="P261" i="13" s="1"/>
  <c r="P262" i="13" s="1"/>
  <c r="O258" i="13"/>
  <c r="O259" i="13" s="1"/>
  <c r="O260" i="13" s="1"/>
  <c r="O261" i="13" s="1"/>
  <c r="O262" i="13" s="1"/>
  <c r="N272" i="13"/>
  <c r="Q276" i="13"/>
  <c r="R276" i="13" s="1"/>
  <c r="Q143" i="13"/>
  <c r="R143" i="13" s="1"/>
  <c r="N153" i="13"/>
  <c r="N202" i="13"/>
  <c r="N238" i="13"/>
  <c r="P238" i="13" s="1"/>
  <c r="P239" i="13" s="1"/>
  <c r="P240" i="13" s="1"/>
  <c r="P241" i="13" s="1"/>
  <c r="Q241" i="13"/>
  <c r="R241" i="13" s="1"/>
  <c r="Q297" i="13"/>
  <c r="R297" i="13" s="1"/>
  <c r="N293" i="13"/>
  <c r="O62" i="13"/>
  <c r="N139" i="13"/>
  <c r="Q325" i="13"/>
  <c r="R325" i="13" s="1"/>
  <c r="N321" i="13"/>
  <c r="O41" i="13"/>
  <c r="O42" i="13" s="1"/>
  <c r="O43" i="13" s="1"/>
  <c r="O44" i="13" s="1"/>
  <c r="O45" i="13" s="1"/>
  <c r="N342" i="13"/>
  <c r="N90" i="13"/>
  <c r="Q94" i="13"/>
  <c r="R94" i="13" s="1"/>
  <c r="N104" i="13"/>
  <c r="Q108" i="13"/>
  <c r="R108" i="13" s="1"/>
  <c r="N167" i="13"/>
  <c r="Q213" i="13"/>
  <c r="R213" i="13" s="1"/>
  <c r="N209" i="13"/>
  <c r="M63" i="13"/>
  <c r="N63" i="13" s="1"/>
  <c r="P63" i="13" s="1"/>
  <c r="P64" i="13" s="1"/>
  <c r="P65" i="13" s="1"/>
  <c r="P66" i="13" s="1"/>
  <c r="M162" i="13"/>
  <c r="N162" i="13" s="1"/>
  <c r="N181" i="13"/>
  <c r="Q185" i="13"/>
  <c r="R185" i="13" s="1"/>
  <c r="Q304" i="13"/>
  <c r="R304" i="13" s="1"/>
  <c r="N314" i="13"/>
  <c r="N223" i="13"/>
  <c r="Q248" i="13"/>
  <c r="R248" i="13" s="1"/>
  <c r="N244" i="13"/>
  <c r="Q262" i="13"/>
  <c r="R262" i="13" s="1"/>
  <c r="N363" i="13"/>
  <c r="O237" i="13"/>
  <c r="O300" i="13"/>
  <c r="O301" i="13" s="1"/>
  <c r="O302" i="13" s="1"/>
  <c r="O303" i="13" s="1"/>
  <c r="O304" i="13" s="1"/>
  <c r="Q332" i="13"/>
  <c r="R332" i="13" s="1"/>
  <c r="Q192" i="13"/>
  <c r="R192" i="13" s="1"/>
  <c r="Q290" i="13"/>
  <c r="R290" i="13" s="1"/>
  <c r="N286" i="13"/>
  <c r="Q339" i="13"/>
  <c r="R339" i="13" s="1"/>
  <c r="N335" i="13"/>
  <c r="N188" i="13"/>
  <c r="Q283" i="13"/>
  <c r="R283" i="13" s="1"/>
  <c r="O349" i="13"/>
  <c r="O350" i="13" s="1"/>
  <c r="O351" i="13" s="1"/>
  <c r="O352" i="13" s="1"/>
  <c r="M125" i="13"/>
  <c r="M170" i="13"/>
  <c r="N170" i="13" s="1"/>
  <c r="M174" i="13"/>
  <c r="M370" i="13"/>
  <c r="Q378" i="13"/>
  <c r="N377" i="13"/>
  <c r="N265" i="13"/>
  <c r="N279" i="13"/>
  <c r="K365" i="6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12" i="12"/>
  <c r="F11" i="12"/>
  <c r="F10" i="12"/>
  <c r="F9" i="12"/>
  <c r="F8" i="12"/>
  <c r="F7" i="12"/>
  <c r="F6" i="12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F16" i="11" s="1"/>
  <c r="G16" i="10" l="1"/>
  <c r="Q318" i="13"/>
  <c r="R318" i="13" s="1"/>
  <c r="Q311" i="13"/>
  <c r="R311" i="13" s="1"/>
  <c r="Q206" i="13"/>
  <c r="R206" i="13" s="1"/>
  <c r="Q255" i="13"/>
  <c r="R255" i="13" s="1"/>
  <c r="Q101" i="13"/>
  <c r="R101" i="13" s="1"/>
  <c r="Q269" i="13"/>
  <c r="R269" i="13" s="1"/>
  <c r="Q157" i="13"/>
  <c r="R157" i="13" s="1"/>
  <c r="P36" i="13"/>
  <c r="P37" i="13" s="1"/>
  <c r="P38" i="13" s="1"/>
  <c r="N146" i="13"/>
  <c r="P146" i="13" s="1"/>
  <c r="P147" i="13" s="1"/>
  <c r="P148" i="13" s="1"/>
  <c r="P149" i="13" s="1"/>
  <c r="P150" i="13" s="1"/>
  <c r="N353" i="13"/>
  <c r="P353" i="13" s="1"/>
  <c r="Q353" i="13"/>
  <c r="R353" i="13" s="1"/>
  <c r="O36" i="13"/>
  <c r="O37" i="13" s="1"/>
  <c r="O38" i="13" s="1"/>
  <c r="Q367" i="13"/>
  <c r="R367" i="13" s="1"/>
  <c r="Q346" i="13"/>
  <c r="R346" i="13" s="1"/>
  <c r="Q227" i="13"/>
  <c r="R227" i="13" s="1"/>
  <c r="Q136" i="13"/>
  <c r="R136" i="13" s="1"/>
  <c r="Q199" i="13"/>
  <c r="R199" i="13" s="1"/>
  <c r="O86" i="13"/>
  <c r="O87" i="13" s="1"/>
  <c r="P14" i="13"/>
  <c r="O15" i="13"/>
  <c r="O16" i="13" s="1"/>
  <c r="O17" i="13" s="1"/>
  <c r="P104" i="13"/>
  <c r="P105" i="13" s="1"/>
  <c r="P106" i="13" s="1"/>
  <c r="P107" i="13" s="1"/>
  <c r="P108" i="13" s="1"/>
  <c r="O104" i="13"/>
  <c r="O105" i="13" s="1"/>
  <c r="O106" i="13" s="1"/>
  <c r="O107" i="13" s="1"/>
  <c r="O108" i="13" s="1"/>
  <c r="O356" i="13"/>
  <c r="O357" i="13" s="1"/>
  <c r="O358" i="13" s="1"/>
  <c r="O359" i="13" s="1"/>
  <c r="O360" i="13" s="1"/>
  <c r="P356" i="13"/>
  <c r="P357" i="13" s="1"/>
  <c r="P358" i="13" s="1"/>
  <c r="P359" i="13" s="1"/>
  <c r="P360" i="13" s="1"/>
  <c r="P244" i="13"/>
  <c r="P245" i="13" s="1"/>
  <c r="P246" i="13" s="1"/>
  <c r="P247" i="13" s="1"/>
  <c r="P248" i="13" s="1"/>
  <c r="O244" i="13"/>
  <c r="O245" i="13" s="1"/>
  <c r="O246" i="13" s="1"/>
  <c r="O247" i="13" s="1"/>
  <c r="O248" i="13" s="1"/>
  <c r="P195" i="13"/>
  <c r="P196" i="13" s="1"/>
  <c r="P197" i="13" s="1"/>
  <c r="P198" i="13" s="1"/>
  <c r="P199" i="13" s="1"/>
  <c r="O195" i="13"/>
  <c r="O196" i="13" s="1"/>
  <c r="O197" i="13" s="1"/>
  <c r="O198" i="13" s="1"/>
  <c r="O199" i="13" s="1"/>
  <c r="P223" i="13"/>
  <c r="P224" i="13" s="1"/>
  <c r="P225" i="13" s="1"/>
  <c r="P226" i="13" s="1"/>
  <c r="P227" i="13" s="1"/>
  <c r="O223" i="13"/>
  <c r="O224" i="13" s="1"/>
  <c r="O225" i="13" s="1"/>
  <c r="O226" i="13" s="1"/>
  <c r="O227" i="13" s="1"/>
  <c r="P342" i="13"/>
  <c r="P343" i="13" s="1"/>
  <c r="P344" i="13" s="1"/>
  <c r="P345" i="13" s="1"/>
  <c r="P346" i="13" s="1"/>
  <c r="O342" i="13"/>
  <c r="O343" i="13" s="1"/>
  <c r="O344" i="13" s="1"/>
  <c r="O345" i="13" s="1"/>
  <c r="O346" i="13" s="1"/>
  <c r="Q178" i="13"/>
  <c r="R178" i="13" s="1"/>
  <c r="N174" i="13"/>
  <c r="P97" i="13"/>
  <c r="P98" i="13" s="1"/>
  <c r="P99" i="13" s="1"/>
  <c r="P100" i="13" s="1"/>
  <c r="P101" i="13" s="1"/>
  <c r="O97" i="13"/>
  <c r="O98" i="13" s="1"/>
  <c r="O99" i="13" s="1"/>
  <c r="O100" i="13" s="1"/>
  <c r="O101" i="13" s="1"/>
  <c r="P293" i="13"/>
  <c r="P294" i="13" s="1"/>
  <c r="P295" i="13" s="1"/>
  <c r="P296" i="13" s="1"/>
  <c r="P297" i="13" s="1"/>
  <c r="O293" i="13"/>
  <c r="O294" i="13" s="1"/>
  <c r="O295" i="13" s="1"/>
  <c r="O296" i="13" s="1"/>
  <c r="O297" i="13" s="1"/>
  <c r="P209" i="13"/>
  <c r="P210" i="13" s="1"/>
  <c r="P211" i="13" s="1"/>
  <c r="P212" i="13" s="1"/>
  <c r="P213" i="13" s="1"/>
  <c r="O209" i="13"/>
  <c r="O210" i="13" s="1"/>
  <c r="O211" i="13" s="1"/>
  <c r="O212" i="13" s="1"/>
  <c r="O213" i="13" s="1"/>
  <c r="P230" i="13"/>
  <c r="P231" i="13" s="1"/>
  <c r="P232" i="13" s="1"/>
  <c r="P233" i="13" s="1"/>
  <c r="P234" i="13" s="1"/>
  <c r="O230" i="13"/>
  <c r="O231" i="13" s="1"/>
  <c r="O232" i="13" s="1"/>
  <c r="O233" i="13" s="1"/>
  <c r="O234" i="13" s="1"/>
  <c r="O216" i="13"/>
  <c r="O217" i="13" s="1"/>
  <c r="O218" i="13" s="1"/>
  <c r="O219" i="13" s="1"/>
  <c r="O220" i="13" s="1"/>
  <c r="P216" i="13"/>
  <c r="P217" i="13" s="1"/>
  <c r="P218" i="13" s="1"/>
  <c r="P219" i="13" s="1"/>
  <c r="P220" i="13" s="1"/>
  <c r="Q171" i="13"/>
  <c r="R171" i="13" s="1"/>
  <c r="N125" i="13"/>
  <c r="Q129" i="13"/>
  <c r="R129" i="13" s="1"/>
  <c r="P153" i="13"/>
  <c r="P154" i="13" s="1"/>
  <c r="P155" i="13" s="1"/>
  <c r="P156" i="13" s="1"/>
  <c r="P157" i="13" s="1"/>
  <c r="O153" i="13"/>
  <c r="O154" i="13" s="1"/>
  <c r="O155" i="13" s="1"/>
  <c r="O156" i="13" s="1"/>
  <c r="O157" i="13" s="1"/>
  <c r="P251" i="13"/>
  <c r="P252" i="13" s="1"/>
  <c r="P253" i="13" s="1"/>
  <c r="P254" i="13" s="1"/>
  <c r="P255" i="13" s="1"/>
  <c r="O251" i="13"/>
  <c r="O252" i="13" s="1"/>
  <c r="O253" i="13" s="1"/>
  <c r="O254" i="13" s="1"/>
  <c r="O255" i="13" s="1"/>
  <c r="P335" i="13"/>
  <c r="P336" i="13" s="1"/>
  <c r="P337" i="13" s="1"/>
  <c r="P338" i="13" s="1"/>
  <c r="P339" i="13" s="1"/>
  <c r="O335" i="13"/>
  <c r="O336" i="13" s="1"/>
  <c r="O337" i="13" s="1"/>
  <c r="O338" i="13" s="1"/>
  <c r="O339" i="13" s="1"/>
  <c r="P272" i="13"/>
  <c r="P273" i="13" s="1"/>
  <c r="P274" i="13" s="1"/>
  <c r="P275" i="13" s="1"/>
  <c r="P276" i="13" s="1"/>
  <c r="O272" i="13"/>
  <c r="O273" i="13" s="1"/>
  <c r="O274" i="13" s="1"/>
  <c r="O275" i="13" s="1"/>
  <c r="O276" i="13" s="1"/>
  <c r="O286" i="13"/>
  <c r="O287" i="13" s="1"/>
  <c r="O288" i="13" s="1"/>
  <c r="O289" i="13" s="1"/>
  <c r="O290" i="13" s="1"/>
  <c r="P286" i="13"/>
  <c r="P287" i="13" s="1"/>
  <c r="P288" i="13" s="1"/>
  <c r="P289" i="13" s="1"/>
  <c r="P290" i="13" s="1"/>
  <c r="P90" i="13"/>
  <c r="P91" i="13" s="1"/>
  <c r="P92" i="13" s="1"/>
  <c r="P93" i="13" s="1"/>
  <c r="P94" i="13" s="1"/>
  <c r="O90" i="13"/>
  <c r="O91" i="13" s="1"/>
  <c r="O92" i="13" s="1"/>
  <c r="O93" i="13" s="1"/>
  <c r="O94" i="13" s="1"/>
  <c r="Q374" i="13"/>
  <c r="R374" i="13" s="1"/>
  <c r="N370" i="13"/>
  <c r="O160" i="13"/>
  <c r="O161" i="13" s="1"/>
  <c r="O162" i="13" s="1"/>
  <c r="O163" i="13" s="1"/>
  <c r="O164" i="13" s="1"/>
  <c r="P160" i="13"/>
  <c r="P161" i="13" s="1"/>
  <c r="P162" i="13" s="1"/>
  <c r="P163" i="13" s="1"/>
  <c r="P164" i="13" s="1"/>
  <c r="P202" i="13"/>
  <c r="P203" i="13" s="1"/>
  <c r="P204" i="13" s="1"/>
  <c r="P205" i="13" s="1"/>
  <c r="P206" i="13" s="1"/>
  <c r="O202" i="13"/>
  <c r="O203" i="13" s="1"/>
  <c r="O204" i="13" s="1"/>
  <c r="O205" i="13" s="1"/>
  <c r="O206" i="13" s="1"/>
  <c r="Q164" i="13"/>
  <c r="R164" i="13" s="1"/>
  <c r="P314" i="13"/>
  <c r="P315" i="13" s="1"/>
  <c r="P316" i="13" s="1"/>
  <c r="P317" i="13" s="1"/>
  <c r="P318" i="13" s="1"/>
  <c r="O314" i="13"/>
  <c r="O315" i="13" s="1"/>
  <c r="O316" i="13" s="1"/>
  <c r="O317" i="13" s="1"/>
  <c r="O318" i="13" s="1"/>
  <c r="P167" i="13"/>
  <c r="P168" i="13" s="1"/>
  <c r="P169" i="13" s="1"/>
  <c r="P170" i="13" s="1"/>
  <c r="P171" i="13" s="1"/>
  <c r="O167" i="13"/>
  <c r="O168" i="13" s="1"/>
  <c r="O169" i="13" s="1"/>
  <c r="O170" i="13" s="1"/>
  <c r="O171" i="13" s="1"/>
  <c r="P307" i="13"/>
  <c r="P308" i="13" s="1"/>
  <c r="P309" i="13" s="1"/>
  <c r="P310" i="13" s="1"/>
  <c r="P311" i="13" s="1"/>
  <c r="O307" i="13"/>
  <c r="O308" i="13" s="1"/>
  <c r="O309" i="13" s="1"/>
  <c r="O310" i="13" s="1"/>
  <c r="O311" i="13" s="1"/>
  <c r="O238" i="13"/>
  <c r="O239" i="13" s="1"/>
  <c r="O240" i="13" s="1"/>
  <c r="O241" i="13" s="1"/>
  <c r="P118" i="13"/>
  <c r="P119" i="13" s="1"/>
  <c r="P120" i="13" s="1"/>
  <c r="P121" i="13" s="1"/>
  <c r="P122" i="13" s="1"/>
  <c r="O118" i="13"/>
  <c r="O119" i="13" s="1"/>
  <c r="O120" i="13" s="1"/>
  <c r="O121" i="13" s="1"/>
  <c r="O122" i="13" s="1"/>
  <c r="S133" i="13"/>
  <c r="O181" i="13"/>
  <c r="O182" i="13" s="1"/>
  <c r="O183" i="13" s="1"/>
  <c r="O184" i="13" s="1"/>
  <c r="O185" i="13" s="1"/>
  <c r="P181" i="13"/>
  <c r="P182" i="13" s="1"/>
  <c r="P183" i="13" s="1"/>
  <c r="P184" i="13" s="1"/>
  <c r="P185" i="13" s="1"/>
  <c r="P377" i="13"/>
  <c r="P378" i="13" s="1"/>
  <c r="O377" i="13"/>
  <c r="O378" i="13" s="1"/>
  <c r="P321" i="13"/>
  <c r="P322" i="13" s="1"/>
  <c r="P323" i="13" s="1"/>
  <c r="P324" i="13" s="1"/>
  <c r="P325" i="13" s="1"/>
  <c r="O321" i="13"/>
  <c r="O322" i="13" s="1"/>
  <c r="O323" i="13" s="1"/>
  <c r="O324" i="13" s="1"/>
  <c r="O325" i="13" s="1"/>
  <c r="O279" i="13"/>
  <c r="O280" i="13" s="1"/>
  <c r="O281" i="13" s="1"/>
  <c r="O282" i="13" s="1"/>
  <c r="O283" i="13" s="1"/>
  <c r="P279" i="13"/>
  <c r="P280" i="13" s="1"/>
  <c r="P281" i="13" s="1"/>
  <c r="P282" i="13" s="1"/>
  <c r="P283" i="13" s="1"/>
  <c r="P363" i="13"/>
  <c r="P364" i="13" s="1"/>
  <c r="P365" i="13" s="1"/>
  <c r="P366" i="13" s="1"/>
  <c r="P367" i="13" s="1"/>
  <c r="O363" i="13"/>
  <c r="O364" i="13" s="1"/>
  <c r="O365" i="13" s="1"/>
  <c r="O366" i="13" s="1"/>
  <c r="O367" i="13" s="1"/>
  <c r="P139" i="13"/>
  <c r="P140" i="13" s="1"/>
  <c r="P141" i="13" s="1"/>
  <c r="P142" i="13" s="1"/>
  <c r="P143" i="13" s="1"/>
  <c r="O139" i="13"/>
  <c r="O140" i="13" s="1"/>
  <c r="O141" i="13" s="1"/>
  <c r="O142" i="13" s="1"/>
  <c r="O143" i="13" s="1"/>
  <c r="P265" i="13"/>
  <c r="P266" i="13" s="1"/>
  <c r="P267" i="13" s="1"/>
  <c r="P268" i="13" s="1"/>
  <c r="P269" i="13" s="1"/>
  <c r="O265" i="13"/>
  <c r="O266" i="13" s="1"/>
  <c r="O267" i="13" s="1"/>
  <c r="O268" i="13" s="1"/>
  <c r="O269" i="13" s="1"/>
  <c r="P188" i="13"/>
  <c r="P189" i="13" s="1"/>
  <c r="P190" i="13" s="1"/>
  <c r="P191" i="13" s="1"/>
  <c r="P192" i="13" s="1"/>
  <c r="O188" i="13"/>
  <c r="O189" i="13" s="1"/>
  <c r="O190" i="13" s="1"/>
  <c r="O191" i="13" s="1"/>
  <c r="O192" i="13" s="1"/>
  <c r="S132" i="13"/>
  <c r="O63" i="13"/>
  <c r="O64" i="13" s="1"/>
  <c r="O65" i="13" s="1"/>
  <c r="O66" i="13" s="1"/>
  <c r="P132" i="13"/>
  <c r="P133" i="13" s="1"/>
  <c r="P134" i="13" s="1"/>
  <c r="P135" i="13" s="1"/>
  <c r="P136" i="13" s="1"/>
  <c r="O132" i="13"/>
  <c r="O133" i="13" s="1"/>
  <c r="O134" i="13" s="1"/>
  <c r="O135" i="13" s="1"/>
  <c r="O136" i="13" s="1"/>
  <c r="F16" i="10"/>
  <c r="F14" i="12"/>
  <c r="G8" i="11"/>
  <c r="G16" i="11" s="1"/>
  <c r="O146" i="13" l="1"/>
  <c r="O147" i="13" s="1"/>
  <c r="O148" i="13" s="1"/>
  <c r="O149" i="13" s="1"/>
  <c r="O150" i="13" s="1"/>
  <c r="O353" i="13"/>
  <c r="P15" i="13"/>
  <c r="P16" i="13" s="1"/>
  <c r="P17" i="13" s="1"/>
  <c r="P20" i="13" s="1"/>
  <c r="P21" i="13" s="1"/>
  <c r="P22" i="13" s="1"/>
  <c r="P23" i="13" s="1"/>
  <c r="P24" i="13" s="1"/>
  <c r="P27" i="13" s="1"/>
  <c r="P28" i="13" s="1"/>
  <c r="P29" i="13" s="1"/>
  <c r="P30" i="13" s="1"/>
  <c r="P31" i="13" s="1"/>
  <c r="O174" i="13"/>
  <c r="O175" i="13" s="1"/>
  <c r="O176" i="13" s="1"/>
  <c r="O177" i="13" s="1"/>
  <c r="O178" i="13" s="1"/>
  <c r="P174" i="13"/>
  <c r="P175" i="13" s="1"/>
  <c r="P176" i="13" s="1"/>
  <c r="P177" i="13" s="1"/>
  <c r="P178" i="13" s="1"/>
  <c r="P125" i="13"/>
  <c r="P126" i="13" s="1"/>
  <c r="P127" i="13" s="1"/>
  <c r="P128" i="13" s="1"/>
  <c r="P129" i="13" s="1"/>
  <c r="O125" i="13"/>
  <c r="O126" i="13" s="1"/>
  <c r="O127" i="13" s="1"/>
  <c r="O128" i="13" s="1"/>
  <c r="O129" i="13" s="1"/>
  <c r="P370" i="13"/>
  <c r="P371" i="13" s="1"/>
  <c r="P372" i="13" s="1"/>
  <c r="P373" i="13" s="1"/>
  <c r="P374" i="13" s="1"/>
  <c r="O370" i="13"/>
  <c r="O371" i="13" s="1"/>
  <c r="O372" i="13" s="1"/>
  <c r="O373" i="13" s="1"/>
  <c r="O374" i="13" s="1"/>
  <c r="K272" i="6" l="1"/>
  <c r="G251" i="6" l="1"/>
  <c r="G197" i="6" l="1"/>
  <c r="H197" i="6" s="1"/>
  <c r="K167" i="6" l="1"/>
  <c r="K131" i="6" l="1"/>
  <c r="G13" i="6" l="1"/>
  <c r="G14" i="6"/>
  <c r="H14" i="6" s="1"/>
  <c r="K13" i="6"/>
  <c r="K14" i="6"/>
  <c r="K15" i="6"/>
  <c r="K18" i="6"/>
  <c r="K19" i="6"/>
  <c r="K20" i="6"/>
  <c r="K21" i="6"/>
  <c r="K22" i="6"/>
  <c r="K25" i="6"/>
  <c r="K26" i="6"/>
  <c r="K27" i="6"/>
  <c r="K28" i="6"/>
  <c r="K29" i="6"/>
  <c r="K32" i="6"/>
  <c r="K33" i="6"/>
  <c r="K34" i="6"/>
  <c r="K35" i="6"/>
  <c r="K36" i="6"/>
  <c r="K39" i="6"/>
  <c r="K40" i="6"/>
  <c r="K41" i="6"/>
  <c r="K42" i="6"/>
  <c r="K43" i="6"/>
  <c r="K46" i="6"/>
  <c r="K47" i="6"/>
  <c r="K48" i="6"/>
  <c r="H13" i="6" l="1"/>
  <c r="K89" i="6"/>
  <c r="K88" i="6"/>
  <c r="G41" i="6" l="1"/>
  <c r="G42" i="6"/>
  <c r="H42" i="6" s="1"/>
  <c r="G43" i="6"/>
  <c r="H43" i="6" s="1"/>
  <c r="M42" i="6" l="1"/>
  <c r="G376" i="6"/>
  <c r="K376" i="6"/>
  <c r="G370" i="6"/>
  <c r="K370" i="6"/>
  <c r="G371" i="6"/>
  <c r="K371" i="6"/>
  <c r="G372" i="6"/>
  <c r="K372" i="6"/>
  <c r="G375" i="6"/>
  <c r="H375" i="6" s="1"/>
  <c r="K375" i="6"/>
  <c r="G347" i="6"/>
  <c r="H347" i="6" s="1"/>
  <c r="K347" i="6"/>
  <c r="G348" i="6"/>
  <c r="H348" i="6" s="1"/>
  <c r="K348" i="6"/>
  <c r="G349" i="6"/>
  <c r="H349" i="6" s="1"/>
  <c r="K349" i="6"/>
  <c r="G350" i="6"/>
  <c r="K350" i="6"/>
  <c r="G351" i="6"/>
  <c r="H351" i="6" s="1"/>
  <c r="K351" i="6"/>
  <c r="G354" i="6"/>
  <c r="K354" i="6"/>
  <c r="G355" i="6"/>
  <c r="H355" i="6" s="1"/>
  <c r="K355" i="6"/>
  <c r="G356" i="6"/>
  <c r="H356" i="6" s="1"/>
  <c r="K356" i="6"/>
  <c r="G357" i="6"/>
  <c r="H357" i="6" s="1"/>
  <c r="K357" i="6"/>
  <c r="G358" i="6"/>
  <c r="K358" i="6"/>
  <c r="G361" i="6"/>
  <c r="H361" i="6" s="1"/>
  <c r="K361" i="6"/>
  <c r="G362" i="6"/>
  <c r="H362" i="6" s="1"/>
  <c r="K362" i="6"/>
  <c r="G363" i="6"/>
  <c r="H363" i="6" s="1"/>
  <c r="K363" i="6"/>
  <c r="G364" i="6"/>
  <c r="H364" i="6" s="1"/>
  <c r="K364" i="6"/>
  <c r="G365" i="6"/>
  <c r="G368" i="6"/>
  <c r="K368" i="6"/>
  <c r="G369" i="6"/>
  <c r="K369" i="6"/>
  <c r="G343" i="6"/>
  <c r="K343" i="6"/>
  <c r="G344" i="6"/>
  <c r="K344" i="6"/>
  <c r="G319" i="6"/>
  <c r="K319" i="6"/>
  <c r="M319" i="6" s="1"/>
  <c r="G320" i="6"/>
  <c r="H320" i="6" s="1"/>
  <c r="K320" i="6"/>
  <c r="G321" i="6"/>
  <c r="H321" i="6" s="1"/>
  <c r="K321" i="6"/>
  <c r="G322" i="6"/>
  <c r="K322" i="6"/>
  <c r="G323" i="6"/>
  <c r="K323" i="6"/>
  <c r="G326" i="6"/>
  <c r="K326" i="6"/>
  <c r="G327" i="6"/>
  <c r="H327" i="6" s="1"/>
  <c r="K327" i="6"/>
  <c r="G328" i="6"/>
  <c r="G329" i="6"/>
  <c r="H329" i="6" s="1"/>
  <c r="K329" i="6"/>
  <c r="G330" i="6"/>
  <c r="H330" i="6" s="1"/>
  <c r="K330" i="6"/>
  <c r="G333" i="6"/>
  <c r="H333" i="6" s="1"/>
  <c r="K333" i="6"/>
  <c r="G334" i="6"/>
  <c r="H334" i="6" s="1"/>
  <c r="K334" i="6"/>
  <c r="G335" i="6"/>
  <c r="H335" i="6" s="1"/>
  <c r="K335" i="6"/>
  <c r="G336" i="6"/>
  <c r="H336" i="6" s="1"/>
  <c r="K336" i="6"/>
  <c r="G337" i="6"/>
  <c r="K337" i="6"/>
  <c r="G340" i="6"/>
  <c r="K340" i="6"/>
  <c r="G341" i="6"/>
  <c r="K341" i="6"/>
  <c r="G342" i="6"/>
  <c r="K342" i="6"/>
  <c r="G312" i="6"/>
  <c r="H312" i="6" s="1"/>
  <c r="K312" i="6"/>
  <c r="G313" i="6"/>
  <c r="K313" i="6"/>
  <c r="G314" i="6"/>
  <c r="K314" i="6"/>
  <c r="G315" i="6"/>
  <c r="H315" i="6" s="1"/>
  <c r="K315" i="6"/>
  <c r="G316" i="6"/>
  <c r="H316" i="6" s="1"/>
  <c r="K316" i="6"/>
  <c r="G286" i="6"/>
  <c r="H286" i="6" s="1"/>
  <c r="K286" i="6"/>
  <c r="G287" i="6"/>
  <c r="H287" i="6" s="1"/>
  <c r="M287" i="6" s="1"/>
  <c r="K287" i="6"/>
  <c r="G288" i="6"/>
  <c r="K288" i="6"/>
  <c r="G291" i="6"/>
  <c r="H291" i="6" s="1"/>
  <c r="K291" i="6"/>
  <c r="G292" i="6"/>
  <c r="K292" i="6"/>
  <c r="G293" i="6"/>
  <c r="K293" i="6"/>
  <c r="G294" i="6"/>
  <c r="K294" i="6"/>
  <c r="G295" i="6"/>
  <c r="K295" i="6"/>
  <c r="G298" i="6"/>
  <c r="K298" i="6"/>
  <c r="G299" i="6"/>
  <c r="K299" i="6"/>
  <c r="G300" i="6"/>
  <c r="K300" i="6"/>
  <c r="G301" i="6"/>
  <c r="K301" i="6"/>
  <c r="G302" i="6"/>
  <c r="H302" i="6" s="1"/>
  <c r="K302" i="6"/>
  <c r="G305" i="6"/>
  <c r="H305" i="6" s="1"/>
  <c r="K305" i="6"/>
  <c r="G306" i="6"/>
  <c r="K306" i="6"/>
  <c r="G307" i="6"/>
  <c r="K307" i="6"/>
  <c r="G308" i="6"/>
  <c r="H308" i="6" s="1"/>
  <c r="K308" i="6"/>
  <c r="G309" i="6"/>
  <c r="H309" i="6" s="1"/>
  <c r="K309" i="6"/>
  <c r="G285" i="6"/>
  <c r="H285" i="6" s="1"/>
  <c r="K285" i="6"/>
  <c r="G256" i="6"/>
  <c r="H256" i="6" s="1"/>
  <c r="K256" i="6"/>
  <c r="G257" i="6"/>
  <c r="H257" i="6" s="1"/>
  <c r="K257" i="6"/>
  <c r="G258" i="6"/>
  <c r="H258" i="6" s="1"/>
  <c r="K258" i="6"/>
  <c r="G259" i="6"/>
  <c r="H259" i="6" s="1"/>
  <c r="K259" i="6"/>
  <c r="G260" i="6"/>
  <c r="H260" i="6" s="1"/>
  <c r="K260" i="6"/>
  <c r="G263" i="6"/>
  <c r="K263" i="6"/>
  <c r="G264" i="6"/>
  <c r="K264" i="6"/>
  <c r="G265" i="6"/>
  <c r="H265" i="6" s="1"/>
  <c r="K265" i="6"/>
  <c r="G266" i="6"/>
  <c r="H266" i="6" s="1"/>
  <c r="K266" i="6"/>
  <c r="G267" i="6"/>
  <c r="H267" i="6" s="1"/>
  <c r="K267" i="6"/>
  <c r="G270" i="6"/>
  <c r="H270" i="6" s="1"/>
  <c r="K270" i="6"/>
  <c r="G271" i="6"/>
  <c r="H271" i="6" s="1"/>
  <c r="K271" i="6"/>
  <c r="G272" i="6"/>
  <c r="H272" i="6" s="1"/>
  <c r="G273" i="6"/>
  <c r="H273" i="6" s="1"/>
  <c r="K273" i="6"/>
  <c r="G274" i="6"/>
  <c r="H274" i="6" s="1"/>
  <c r="K274" i="6"/>
  <c r="G277" i="6"/>
  <c r="K277" i="6"/>
  <c r="G278" i="6"/>
  <c r="K278" i="6"/>
  <c r="G279" i="6"/>
  <c r="K279" i="6"/>
  <c r="G280" i="6"/>
  <c r="K280" i="6"/>
  <c r="G281" i="6"/>
  <c r="H281" i="6" s="1"/>
  <c r="K281" i="6"/>
  <c r="G284" i="6"/>
  <c r="H284" i="6" s="1"/>
  <c r="K284" i="6"/>
  <c r="G225" i="6"/>
  <c r="H225" i="6" s="1"/>
  <c r="K225" i="6"/>
  <c r="G228" i="6"/>
  <c r="H228" i="6" s="1"/>
  <c r="K228" i="6"/>
  <c r="G229" i="6"/>
  <c r="H229" i="6" s="1"/>
  <c r="K229" i="6"/>
  <c r="G230" i="6"/>
  <c r="K230" i="6"/>
  <c r="G231" i="6"/>
  <c r="K231" i="6"/>
  <c r="G232" i="6"/>
  <c r="K232" i="6"/>
  <c r="G235" i="6"/>
  <c r="K235" i="6"/>
  <c r="G236" i="6"/>
  <c r="K236" i="6"/>
  <c r="G237" i="6"/>
  <c r="K237" i="6"/>
  <c r="G238" i="6"/>
  <c r="K238" i="6"/>
  <c r="G239" i="6"/>
  <c r="K239" i="6"/>
  <c r="G242" i="6"/>
  <c r="K242" i="6"/>
  <c r="G243" i="6"/>
  <c r="K243" i="6"/>
  <c r="G244" i="6"/>
  <c r="K244" i="6"/>
  <c r="G245" i="6"/>
  <c r="K245" i="6"/>
  <c r="G246" i="6"/>
  <c r="K246" i="6"/>
  <c r="G249" i="6"/>
  <c r="H249" i="6" s="1"/>
  <c r="K249" i="6"/>
  <c r="G250" i="6"/>
  <c r="H250" i="6" s="1"/>
  <c r="K250" i="6"/>
  <c r="K251" i="6"/>
  <c r="G252" i="6"/>
  <c r="H252" i="6" s="1"/>
  <c r="K252" i="6"/>
  <c r="G253" i="6"/>
  <c r="H253" i="6" s="1"/>
  <c r="K253" i="6"/>
  <c r="G222" i="6"/>
  <c r="H222" i="6" s="1"/>
  <c r="K222" i="6"/>
  <c r="G223" i="6"/>
  <c r="H223" i="6" s="1"/>
  <c r="K223" i="6"/>
  <c r="G224" i="6"/>
  <c r="H224" i="6" s="1"/>
  <c r="K224" i="6"/>
  <c r="G218" i="6"/>
  <c r="H218" i="6" s="1"/>
  <c r="K218" i="6"/>
  <c r="G221" i="6"/>
  <c r="H221" i="6" s="1"/>
  <c r="K221" i="6"/>
  <c r="G194" i="6"/>
  <c r="H194" i="6" s="1"/>
  <c r="K194" i="6"/>
  <c r="G195" i="6"/>
  <c r="H195" i="6" s="1"/>
  <c r="K195" i="6"/>
  <c r="G196" i="6"/>
  <c r="H196" i="6" s="1"/>
  <c r="K196" i="6"/>
  <c r="K197" i="6"/>
  <c r="G200" i="6"/>
  <c r="H200" i="6" s="1"/>
  <c r="K200" i="6"/>
  <c r="G201" i="6"/>
  <c r="H201" i="6" s="1"/>
  <c r="K201" i="6"/>
  <c r="G202" i="6"/>
  <c r="H202" i="6" s="1"/>
  <c r="K202" i="6"/>
  <c r="G203" i="6"/>
  <c r="H203" i="6" s="1"/>
  <c r="K203" i="6"/>
  <c r="G204" i="6"/>
  <c r="H204" i="6" s="1"/>
  <c r="K204" i="6"/>
  <c r="G207" i="6"/>
  <c r="H207" i="6" s="1"/>
  <c r="K207" i="6"/>
  <c r="G208" i="6"/>
  <c r="K208" i="6"/>
  <c r="G209" i="6"/>
  <c r="H209" i="6" s="1"/>
  <c r="K209" i="6"/>
  <c r="G210" i="6"/>
  <c r="K210" i="6"/>
  <c r="G211" i="6"/>
  <c r="H211" i="6" s="1"/>
  <c r="K211" i="6"/>
  <c r="G214" i="6"/>
  <c r="H214" i="6" s="1"/>
  <c r="K214" i="6"/>
  <c r="G215" i="6"/>
  <c r="H215" i="6" s="1"/>
  <c r="K215" i="6"/>
  <c r="G216" i="6"/>
  <c r="H216" i="6" s="1"/>
  <c r="K216" i="6"/>
  <c r="G217" i="6"/>
  <c r="H217" i="6" s="1"/>
  <c r="K217" i="6"/>
  <c r="G193" i="6"/>
  <c r="H193" i="6" s="1"/>
  <c r="K193" i="6"/>
  <c r="G188" i="6"/>
  <c r="H188" i="6" s="1"/>
  <c r="K188" i="6"/>
  <c r="G189" i="6"/>
  <c r="H189" i="6" s="1"/>
  <c r="K189" i="6"/>
  <c r="G190" i="6"/>
  <c r="H190" i="6" s="1"/>
  <c r="K190" i="6"/>
  <c r="G165" i="6"/>
  <c r="H165" i="6" s="1"/>
  <c r="K165" i="6"/>
  <c r="G166" i="6"/>
  <c r="H166" i="6" s="1"/>
  <c r="K166" i="6"/>
  <c r="G167" i="6"/>
  <c r="G168" i="6"/>
  <c r="H168" i="6" s="1"/>
  <c r="K168" i="6"/>
  <c r="G169" i="6"/>
  <c r="H169" i="6" s="1"/>
  <c r="K169" i="6"/>
  <c r="G172" i="6"/>
  <c r="K172" i="6"/>
  <c r="G173" i="6"/>
  <c r="K173" i="6"/>
  <c r="G174" i="6"/>
  <c r="H174" i="6" s="1"/>
  <c r="K174" i="6"/>
  <c r="G175" i="6"/>
  <c r="H175" i="6" s="1"/>
  <c r="K175" i="6"/>
  <c r="G176" i="6"/>
  <c r="H176" i="6" s="1"/>
  <c r="K176" i="6"/>
  <c r="G179" i="6"/>
  <c r="H179" i="6" s="1"/>
  <c r="K179" i="6"/>
  <c r="G180" i="6"/>
  <c r="H180" i="6" s="1"/>
  <c r="K180" i="6"/>
  <c r="G181" i="6"/>
  <c r="H181" i="6" s="1"/>
  <c r="K181" i="6"/>
  <c r="G182" i="6"/>
  <c r="H182" i="6" s="1"/>
  <c r="K182" i="6"/>
  <c r="G183" i="6"/>
  <c r="H183" i="6" s="1"/>
  <c r="K183" i="6"/>
  <c r="G186" i="6"/>
  <c r="H186" i="6" s="1"/>
  <c r="K186" i="6"/>
  <c r="G187" i="6"/>
  <c r="K187" i="6"/>
  <c r="G133" i="6"/>
  <c r="K133" i="6"/>
  <c r="G134" i="6"/>
  <c r="K134" i="6"/>
  <c r="G137" i="6"/>
  <c r="H137" i="6" s="1"/>
  <c r="K137" i="6"/>
  <c r="G138" i="6"/>
  <c r="H138" i="6" s="1"/>
  <c r="K138" i="6"/>
  <c r="G139" i="6"/>
  <c r="H139" i="6" s="1"/>
  <c r="K139" i="6"/>
  <c r="G140" i="6"/>
  <c r="H140" i="6" s="1"/>
  <c r="K140" i="6"/>
  <c r="G141" i="6"/>
  <c r="K141" i="6"/>
  <c r="G144" i="6"/>
  <c r="H144" i="6" s="1"/>
  <c r="K144" i="6"/>
  <c r="G145" i="6"/>
  <c r="H145" i="6" s="1"/>
  <c r="K145" i="6"/>
  <c r="G146" i="6"/>
  <c r="H146" i="6" s="1"/>
  <c r="K146" i="6"/>
  <c r="G147" i="6"/>
  <c r="H147" i="6" s="1"/>
  <c r="K147" i="6"/>
  <c r="G148" i="6"/>
  <c r="H148" i="6" s="1"/>
  <c r="K148" i="6"/>
  <c r="G151" i="6"/>
  <c r="H151" i="6" s="1"/>
  <c r="K151" i="6"/>
  <c r="G152" i="6"/>
  <c r="H152" i="6" s="1"/>
  <c r="K152" i="6"/>
  <c r="G153" i="6"/>
  <c r="H153" i="6" s="1"/>
  <c r="K153" i="6"/>
  <c r="G154" i="6"/>
  <c r="K154" i="6"/>
  <c r="G155" i="6"/>
  <c r="H155" i="6" s="1"/>
  <c r="K155" i="6"/>
  <c r="G158" i="6"/>
  <c r="H158" i="6" s="1"/>
  <c r="K158" i="6"/>
  <c r="G159" i="6"/>
  <c r="K159" i="6"/>
  <c r="G160" i="6"/>
  <c r="H160" i="6" s="1"/>
  <c r="K160" i="6"/>
  <c r="G161" i="6"/>
  <c r="H161" i="6" s="1"/>
  <c r="K161" i="6"/>
  <c r="G162" i="6"/>
  <c r="H162" i="6" s="1"/>
  <c r="K162" i="6"/>
  <c r="G132" i="6"/>
  <c r="H132" i="6" s="1"/>
  <c r="M132" i="6" s="1"/>
  <c r="K132" i="6"/>
  <c r="G113" i="6"/>
  <c r="H113" i="6" s="1"/>
  <c r="K113" i="6"/>
  <c r="G116" i="6"/>
  <c r="K116" i="6"/>
  <c r="G117" i="6"/>
  <c r="K117" i="6"/>
  <c r="G118" i="6"/>
  <c r="K118" i="6"/>
  <c r="G119" i="6"/>
  <c r="K119" i="6"/>
  <c r="G120" i="6"/>
  <c r="K120" i="6"/>
  <c r="G123" i="6"/>
  <c r="H123" i="6" s="1"/>
  <c r="K123" i="6"/>
  <c r="G124" i="6"/>
  <c r="H124" i="6" s="1"/>
  <c r="K124" i="6"/>
  <c r="G125" i="6"/>
  <c r="K125" i="6"/>
  <c r="G126" i="6"/>
  <c r="H126" i="6" s="1"/>
  <c r="K126" i="6"/>
  <c r="G127" i="6"/>
  <c r="H127" i="6" s="1"/>
  <c r="K127" i="6"/>
  <c r="G130" i="6"/>
  <c r="H130" i="6" s="1"/>
  <c r="K130" i="6"/>
  <c r="G131" i="6"/>
  <c r="H131" i="6" s="1"/>
  <c r="G103" i="6"/>
  <c r="H103" i="6" s="1"/>
  <c r="K103" i="6"/>
  <c r="G104" i="6"/>
  <c r="H104" i="6" s="1"/>
  <c r="K104" i="6"/>
  <c r="G105" i="6"/>
  <c r="H105" i="6" s="1"/>
  <c r="K105" i="6"/>
  <c r="G106" i="6"/>
  <c r="H106" i="6" s="1"/>
  <c r="K106" i="6"/>
  <c r="G109" i="6"/>
  <c r="H109" i="6" s="1"/>
  <c r="K109" i="6"/>
  <c r="G110" i="6"/>
  <c r="H110" i="6" s="1"/>
  <c r="K110" i="6"/>
  <c r="G111" i="6"/>
  <c r="H111" i="6" s="1"/>
  <c r="K111" i="6"/>
  <c r="G112" i="6"/>
  <c r="K112" i="6"/>
  <c r="G46" i="6"/>
  <c r="H46" i="6" s="1"/>
  <c r="G47" i="6"/>
  <c r="H47" i="6" s="1"/>
  <c r="G48" i="6"/>
  <c r="H48" i="6" s="1"/>
  <c r="G49" i="6"/>
  <c r="H49" i="6" s="1"/>
  <c r="K49" i="6"/>
  <c r="G50" i="6"/>
  <c r="H50" i="6" s="1"/>
  <c r="K50" i="6"/>
  <c r="G53" i="6"/>
  <c r="H53" i="6" s="1"/>
  <c r="K53" i="6"/>
  <c r="G54" i="6"/>
  <c r="H54" i="6" s="1"/>
  <c r="K54" i="6"/>
  <c r="G55" i="6"/>
  <c r="H55" i="6" s="1"/>
  <c r="K55" i="6"/>
  <c r="G56" i="6"/>
  <c r="H56" i="6" s="1"/>
  <c r="K56" i="6"/>
  <c r="G57" i="6"/>
  <c r="H57" i="6" s="1"/>
  <c r="K57" i="6"/>
  <c r="H60" i="6"/>
  <c r="K60" i="6"/>
  <c r="G61" i="6"/>
  <c r="H61" i="6" s="1"/>
  <c r="K61" i="6"/>
  <c r="G62" i="6"/>
  <c r="K62" i="6"/>
  <c r="G63" i="6"/>
  <c r="K63" i="6"/>
  <c r="G64" i="6"/>
  <c r="K64" i="6"/>
  <c r="G67" i="6"/>
  <c r="H67" i="6" s="1"/>
  <c r="K67" i="6"/>
  <c r="G68" i="6"/>
  <c r="H68" i="6" s="1"/>
  <c r="K68" i="6"/>
  <c r="G69" i="6"/>
  <c r="H69" i="6" s="1"/>
  <c r="K69" i="6"/>
  <c r="G70" i="6"/>
  <c r="H70" i="6" s="1"/>
  <c r="K70" i="6"/>
  <c r="G71" i="6"/>
  <c r="K71" i="6"/>
  <c r="G74" i="6"/>
  <c r="H74" i="6" s="1"/>
  <c r="K74" i="6"/>
  <c r="G75" i="6"/>
  <c r="H75" i="6" s="1"/>
  <c r="K75" i="6"/>
  <c r="G76" i="6"/>
  <c r="K76" i="6"/>
  <c r="G77" i="6"/>
  <c r="K77" i="6"/>
  <c r="G78" i="6"/>
  <c r="H78" i="6" s="1"/>
  <c r="K78" i="6"/>
  <c r="G81" i="6"/>
  <c r="H81" i="6" s="1"/>
  <c r="K81" i="6"/>
  <c r="G82" i="6"/>
  <c r="H82" i="6" s="1"/>
  <c r="K82" i="6"/>
  <c r="G83" i="6"/>
  <c r="H83" i="6" s="1"/>
  <c r="K83" i="6"/>
  <c r="G84" i="6"/>
  <c r="H84" i="6" s="1"/>
  <c r="K84" i="6"/>
  <c r="G85" i="6"/>
  <c r="H85" i="6" s="1"/>
  <c r="K85" i="6"/>
  <c r="G88" i="6"/>
  <c r="H88" i="6" s="1"/>
  <c r="G89" i="6"/>
  <c r="G90" i="6"/>
  <c r="H90" i="6" s="1"/>
  <c r="K90" i="6"/>
  <c r="G91" i="6"/>
  <c r="H91" i="6" s="1"/>
  <c r="K91" i="6"/>
  <c r="G92" i="6"/>
  <c r="H92" i="6" s="1"/>
  <c r="K92" i="6"/>
  <c r="G95" i="6"/>
  <c r="H95" i="6" s="1"/>
  <c r="K95" i="6"/>
  <c r="G96" i="6"/>
  <c r="H96" i="6" s="1"/>
  <c r="K96" i="6"/>
  <c r="G97" i="6"/>
  <c r="H97" i="6" s="1"/>
  <c r="K97" i="6"/>
  <c r="G98" i="6"/>
  <c r="H98" i="6" s="1"/>
  <c r="K98" i="6"/>
  <c r="G99" i="6"/>
  <c r="H99" i="6" s="1"/>
  <c r="K99" i="6"/>
  <c r="G102" i="6"/>
  <c r="H102" i="6" s="1"/>
  <c r="K102" i="6"/>
  <c r="H89" i="6" l="1"/>
  <c r="M89" i="6" s="1"/>
  <c r="N89" i="6" s="1"/>
  <c r="M88" i="6"/>
  <c r="M91" i="6"/>
  <c r="N91" i="6" s="1"/>
  <c r="M350" i="6"/>
  <c r="N350" i="6" s="1"/>
  <c r="M333" i="6"/>
  <c r="M368" i="6"/>
  <c r="M323" i="6"/>
  <c r="N323" i="6" s="1"/>
  <c r="M348" i="6"/>
  <c r="M340" i="6"/>
  <c r="M221" i="6"/>
  <c r="M292" i="6"/>
  <c r="N292" i="6" s="1"/>
  <c r="M312" i="6"/>
  <c r="M301" i="6"/>
  <c r="N301" i="6" s="1"/>
  <c r="M306" i="6"/>
  <c r="N306" i="6" s="1"/>
  <c r="M263" i="6"/>
  <c r="M256" i="6"/>
  <c r="N231" i="6"/>
  <c r="M277" i="6"/>
  <c r="M218" i="6"/>
  <c r="N218" i="6" s="1"/>
  <c r="M260" i="6"/>
  <c r="N260" i="6" s="1"/>
  <c r="M267" i="6"/>
  <c r="N267" i="6" s="1"/>
  <c r="M180" i="6"/>
  <c r="N180" i="6" s="1"/>
  <c r="M264" i="6"/>
  <c r="N264" i="6" s="1"/>
  <c r="M224" i="6"/>
  <c r="N224" i="6" s="1"/>
  <c r="M207" i="6"/>
  <c r="N207" i="6" s="1"/>
  <c r="M202" i="6"/>
  <c r="N202" i="6" s="1"/>
  <c r="M215" i="6"/>
  <c r="N215" i="6" s="1"/>
  <c r="M194" i="6"/>
  <c r="N194" i="6" s="1"/>
  <c r="M223" i="6"/>
  <c r="N223" i="6" s="1"/>
  <c r="M222" i="6"/>
  <c r="N222" i="6" s="1"/>
  <c r="M168" i="6"/>
  <c r="N168" i="6" s="1"/>
  <c r="M84" i="6"/>
  <c r="N84" i="6" s="1"/>
  <c r="M83" i="6"/>
  <c r="N83" i="6" s="1"/>
  <c r="M189" i="6"/>
  <c r="N189" i="6" s="1"/>
  <c r="M165" i="6"/>
  <c r="M90" i="6"/>
  <c r="N90" i="6" s="1"/>
  <c r="M60" i="6"/>
  <c r="N60" i="6" s="1"/>
  <c r="M155" i="6"/>
  <c r="N155" i="6" s="1"/>
  <c r="N120" i="6"/>
  <c r="M145" i="6"/>
  <c r="N145" i="6" s="1"/>
  <c r="M74" i="6"/>
  <c r="N74" i="6" s="1"/>
  <c r="M125" i="6"/>
  <c r="N125" i="6" s="1"/>
  <c r="M56" i="6"/>
  <c r="N56" i="6" s="1"/>
  <c r="N119" i="6"/>
  <c r="N117" i="6"/>
  <c r="M111" i="6"/>
  <c r="N111" i="6" s="1"/>
  <c r="M99" i="6"/>
  <c r="N99" i="6" s="1"/>
  <c r="M68" i="6"/>
  <c r="N68" i="6" s="1"/>
  <c r="M82" i="6"/>
  <c r="N82" i="6" s="1"/>
  <c r="M81" i="6"/>
  <c r="M54" i="6"/>
  <c r="N54" i="6" s="1"/>
  <c r="M211" i="6"/>
  <c r="N211" i="6" s="1"/>
  <c r="N230" i="6"/>
  <c r="M286" i="6"/>
  <c r="N286" i="6" s="1"/>
  <c r="M375" i="6"/>
  <c r="M130" i="6"/>
  <c r="M210" i="6"/>
  <c r="N210" i="6" s="1"/>
  <c r="N236" i="6"/>
  <c r="M229" i="6"/>
  <c r="N229" i="6" s="1"/>
  <c r="M298" i="6"/>
  <c r="M316" i="6"/>
  <c r="N316" i="6" s="1"/>
  <c r="M161" i="6"/>
  <c r="N161" i="6" s="1"/>
  <c r="M169" i="6"/>
  <c r="N169" i="6" s="1"/>
  <c r="M216" i="6"/>
  <c r="N216" i="6" s="1"/>
  <c r="M197" i="6"/>
  <c r="N197" i="6" s="1"/>
  <c r="N285" i="6"/>
  <c r="M139" i="6"/>
  <c r="N139" i="6" s="1"/>
  <c r="M181" i="6"/>
  <c r="N181" i="6" s="1"/>
  <c r="M175" i="6"/>
  <c r="N175" i="6" s="1"/>
  <c r="M209" i="6"/>
  <c r="N209" i="6" s="1"/>
  <c r="M228" i="6"/>
  <c r="M351" i="6"/>
  <c r="N351" i="6" s="1"/>
  <c r="M334" i="6"/>
  <c r="N334" i="6" s="1"/>
  <c r="M327" i="6"/>
  <c r="N327" i="6" s="1"/>
  <c r="M358" i="6"/>
  <c r="N358" i="6" s="1"/>
  <c r="M188" i="6"/>
  <c r="N188" i="6" s="1"/>
  <c r="M162" i="6"/>
  <c r="N162" i="6" s="1"/>
  <c r="M137" i="6"/>
  <c r="M167" i="6"/>
  <c r="N167" i="6" s="1"/>
  <c r="M127" i="6"/>
  <c r="M158" i="6"/>
  <c r="M253" i="6"/>
  <c r="N253" i="6" s="1"/>
  <c r="M274" i="6"/>
  <c r="N274" i="6" s="1"/>
  <c r="M266" i="6"/>
  <c r="N266" i="6" s="1"/>
  <c r="M320" i="6"/>
  <c r="N320" i="6" s="1"/>
  <c r="M364" i="6"/>
  <c r="N364" i="6" s="1"/>
  <c r="M49" i="6"/>
  <c r="N49" i="6" s="1"/>
  <c r="N246" i="6"/>
  <c r="M313" i="6"/>
  <c r="N313" i="6" s="1"/>
  <c r="M151" i="6"/>
  <c r="M104" i="6"/>
  <c r="N104" i="6" s="1"/>
  <c r="N239" i="6"/>
  <c r="M265" i="6"/>
  <c r="N265" i="6" s="1"/>
  <c r="M288" i="6"/>
  <c r="N288" i="6" s="1"/>
  <c r="M102" i="6"/>
  <c r="M105" i="6"/>
  <c r="N105" i="6" s="1"/>
  <c r="M252" i="6"/>
  <c r="M77" i="6"/>
  <c r="N77" i="6" s="1"/>
  <c r="M183" i="6"/>
  <c r="M251" i="6"/>
  <c r="N251" i="6" s="1"/>
  <c r="N245" i="6"/>
  <c r="M225" i="6"/>
  <c r="N225" i="6" s="1"/>
  <c r="N278" i="6"/>
  <c r="M272" i="6"/>
  <c r="N272" i="6" s="1"/>
  <c r="M337" i="6"/>
  <c r="N337" i="6" s="1"/>
  <c r="M376" i="6"/>
  <c r="N376" i="6" s="1"/>
  <c r="M97" i="6"/>
  <c r="N97" i="6" s="1"/>
  <c r="M106" i="6"/>
  <c r="N132" i="6"/>
  <c r="M148" i="6"/>
  <c r="N148" i="6" s="1"/>
  <c r="N244" i="6"/>
  <c r="M342" i="6"/>
  <c r="N342" i="6" s="1"/>
  <c r="M354" i="6"/>
  <c r="N354" i="6" s="1"/>
  <c r="M214" i="6"/>
  <c r="M291" i="6"/>
  <c r="M71" i="6"/>
  <c r="N71" i="6" s="1"/>
  <c r="N118" i="6"/>
  <c r="M186" i="6"/>
  <c r="N186" i="6" s="1"/>
  <c r="M259" i="6"/>
  <c r="N259" i="6" s="1"/>
  <c r="M336" i="6"/>
  <c r="N336" i="6" s="1"/>
  <c r="M330" i="6"/>
  <c r="N330" i="6" s="1"/>
  <c r="M95" i="6"/>
  <c r="M208" i="6"/>
  <c r="N208" i="6" s="1"/>
  <c r="M258" i="6"/>
  <c r="N258" i="6" s="1"/>
  <c r="M315" i="6"/>
  <c r="M335" i="6"/>
  <c r="N335" i="6" s="1"/>
  <c r="M75" i="6"/>
  <c r="N75" i="6" s="1"/>
  <c r="M271" i="6"/>
  <c r="N271" i="6" s="1"/>
  <c r="M308" i="6"/>
  <c r="N308" i="6" s="1"/>
  <c r="M362" i="6"/>
  <c r="N362" i="6" s="1"/>
  <c r="M355" i="6"/>
  <c r="M70" i="6"/>
  <c r="N70" i="6" s="1"/>
  <c r="M48" i="6"/>
  <c r="N48" i="6" s="1"/>
  <c r="M63" i="6"/>
  <c r="N63" i="6" s="1"/>
  <c r="M179" i="6"/>
  <c r="M257" i="6"/>
  <c r="N257" i="6" s="1"/>
  <c r="M302" i="6"/>
  <c r="N302" i="6" s="1"/>
  <c r="M314" i="6"/>
  <c r="N314" i="6" s="1"/>
  <c r="M307" i="6"/>
  <c r="N307" i="6" s="1"/>
  <c r="M349" i="6"/>
  <c r="N349" i="6" s="1"/>
  <c r="M372" i="6"/>
  <c r="N372" i="6" s="1"/>
  <c r="M147" i="6"/>
  <c r="N147" i="6" s="1"/>
  <c r="M134" i="6"/>
  <c r="N134" i="6" s="1"/>
  <c r="M200" i="6"/>
  <c r="N200" i="6" s="1"/>
  <c r="M160" i="6"/>
  <c r="N160" i="6" s="1"/>
  <c r="N238" i="6"/>
  <c r="M322" i="6"/>
  <c r="N322" i="6" s="1"/>
  <c r="M46" i="6"/>
  <c r="N46" i="6" s="1"/>
  <c r="P46" i="6" s="1"/>
  <c r="M131" i="6"/>
  <c r="M133" i="6"/>
  <c r="N133" i="6" s="1"/>
  <c r="M166" i="6"/>
  <c r="N166" i="6" s="1"/>
  <c r="M195" i="6"/>
  <c r="N195" i="6" s="1"/>
  <c r="M300" i="6"/>
  <c r="N300" i="6" s="1"/>
  <c r="M61" i="6"/>
  <c r="N61" i="6" s="1"/>
  <c r="M159" i="6"/>
  <c r="N159" i="6" s="1"/>
  <c r="M146" i="6"/>
  <c r="N146" i="6" s="1"/>
  <c r="M182" i="6"/>
  <c r="N182" i="6" s="1"/>
  <c r="N237" i="6"/>
  <c r="N232" i="6"/>
  <c r="N287" i="6"/>
  <c r="M321" i="6"/>
  <c r="N321" i="6" s="1"/>
  <c r="M96" i="6"/>
  <c r="N96" i="6" s="1"/>
  <c r="M64" i="6"/>
  <c r="N64" i="6" s="1"/>
  <c r="N243" i="6"/>
  <c r="M299" i="6"/>
  <c r="N299" i="6" s="1"/>
  <c r="M67" i="6"/>
  <c r="N67" i="6" s="1"/>
  <c r="M249" i="6"/>
  <c r="N249" i="6" s="1"/>
  <c r="M176" i="6"/>
  <c r="N176" i="6" s="1"/>
  <c r="M153" i="6"/>
  <c r="N153" i="6" s="1"/>
  <c r="M204" i="6"/>
  <c r="N204" i="6" s="1"/>
  <c r="M76" i="6"/>
  <c r="N76" i="6" s="1"/>
  <c r="M190" i="6"/>
  <c r="N190" i="6" s="1"/>
  <c r="M201" i="6"/>
  <c r="N201" i="6" s="1"/>
  <c r="M357" i="6"/>
  <c r="N357" i="6" s="1"/>
  <c r="M92" i="6"/>
  <c r="N92" i="6" s="1"/>
  <c r="M109" i="6"/>
  <c r="M154" i="6"/>
  <c r="N154" i="6" s="1"/>
  <c r="M141" i="6"/>
  <c r="N141" i="6" s="1"/>
  <c r="M329" i="6"/>
  <c r="N329" i="6" s="1"/>
  <c r="M344" i="6"/>
  <c r="N344" i="6" s="1"/>
  <c r="M140" i="6"/>
  <c r="N173" i="6"/>
  <c r="M328" i="6"/>
  <c r="N328" i="6" s="1"/>
  <c r="M343" i="6"/>
  <c r="N343" i="6" s="1"/>
  <c r="M356" i="6"/>
  <c r="N356" i="6" s="1"/>
  <c r="M371" i="6"/>
  <c r="N371" i="6" s="1"/>
  <c r="M110" i="6"/>
  <c r="M347" i="6"/>
  <c r="N347" i="6" s="1"/>
  <c r="M43" i="6"/>
  <c r="N43" i="6" s="1"/>
  <c r="M361" i="6"/>
  <c r="M124" i="6"/>
  <c r="M187" i="6"/>
  <c r="N187" i="6" s="1"/>
  <c r="M369" i="6"/>
  <c r="N369" i="6" s="1"/>
  <c r="M365" i="6"/>
  <c r="N365" i="6" s="1"/>
  <c r="M103" i="6"/>
  <c r="N103" i="6" s="1"/>
  <c r="M341" i="6"/>
  <c r="N341" i="6" s="1"/>
  <c r="M370" i="6"/>
  <c r="N370" i="6" s="1"/>
  <c r="M270" i="6"/>
  <c r="M273" i="6"/>
  <c r="N273" i="6" s="1"/>
  <c r="M295" i="6"/>
  <c r="N295" i="6" s="1"/>
  <c r="M55" i="6"/>
  <c r="N55" i="6" s="1"/>
  <c r="M50" i="6"/>
  <c r="N50" i="6" s="1"/>
  <c r="M78" i="6"/>
  <c r="M57" i="6"/>
  <c r="N57" i="6" s="1"/>
  <c r="M193" i="6"/>
  <c r="M305" i="6"/>
  <c r="M294" i="6"/>
  <c r="N294" i="6" s="1"/>
  <c r="M326" i="6"/>
  <c r="M62" i="6"/>
  <c r="M138" i="6"/>
  <c r="N138" i="6" s="1"/>
  <c r="M53" i="6"/>
  <c r="N53" i="6" s="1"/>
  <c r="P53" i="6" s="1"/>
  <c r="M217" i="6"/>
  <c r="N217" i="6" s="1"/>
  <c r="M250" i="6"/>
  <c r="N250" i="6" s="1"/>
  <c r="M309" i="6"/>
  <c r="N309" i="6" s="1"/>
  <c r="M293" i="6"/>
  <c r="N293" i="6" s="1"/>
  <c r="N42" i="6"/>
  <c r="M69" i="6"/>
  <c r="N69" i="6" s="1"/>
  <c r="M112" i="6"/>
  <c r="N112" i="6" s="1"/>
  <c r="M152" i="6"/>
  <c r="N152" i="6" s="1"/>
  <c r="M203" i="6"/>
  <c r="N203" i="6" s="1"/>
  <c r="M126" i="6"/>
  <c r="N126" i="6" s="1"/>
  <c r="M363" i="6"/>
  <c r="N363" i="6" s="1"/>
  <c r="M98" i="6"/>
  <c r="N98" i="6" s="1"/>
  <c r="M144" i="6"/>
  <c r="M85" i="6"/>
  <c r="M47" i="6"/>
  <c r="N47" i="6" s="1"/>
  <c r="M113" i="6"/>
  <c r="N315" i="6" l="1"/>
  <c r="M317" i="6"/>
  <c r="N317" i="6" s="1"/>
  <c r="N193" i="6"/>
  <c r="T193" i="6"/>
  <c r="N183" i="6"/>
  <c r="T71" i="6"/>
  <c r="U71" i="6" s="1"/>
  <c r="N140" i="6"/>
  <c r="T163" i="6"/>
  <c r="U163" i="6" s="1"/>
  <c r="N113" i="6"/>
  <c r="T132" i="6"/>
  <c r="U132" i="6" s="1"/>
  <c r="Q134" i="6"/>
  <c r="R134" i="6" s="1"/>
  <c r="N109" i="6"/>
  <c r="Q110" i="6"/>
  <c r="Q111" i="6" s="1"/>
  <c r="Q112" i="6" s="1"/>
  <c r="Q113" i="6" s="1"/>
  <c r="R113" i="6" s="1"/>
  <c r="Q109" i="6"/>
  <c r="N102" i="6"/>
  <c r="Q103" i="6"/>
  <c r="Q104" i="6" s="1"/>
  <c r="Q105" i="6" s="1"/>
  <c r="Q106" i="6" s="1"/>
  <c r="R106" i="6" s="1"/>
  <c r="Q102" i="6"/>
  <c r="Q96" i="6"/>
  <c r="Q97" i="6" s="1"/>
  <c r="Q98" i="6" s="1"/>
  <c r="Q99" i="6" s="1"/>
  <c r="Q95" i="6"/>
  <c r="N88" i="6"/>
  <c r="Q89" i="6"/>
  <c r="Q90" i="6" s="1"/>
  <c r="Q91" i="6" s="1"/>
  <c r="Q92" i="6" s="1"/>
  <c r="Q88" i="6"/>
  <c r="N62" i="6"/>
  <c r="Q62" i="6"/>
  <c r="Q63" i="6" s="1"/>
  <c r="Q64" i="6" s="1"/>
  <c r="R64" i="6" s="1"/>
  <c r="N81" i="6"/>
  <c r="Q82" i="6"/>
  <c r="Q83" i="6" s="1"/>
  <c r="Q84" i="6" s="1"/>
  <c r="Q85" i="6" s="1"/>
  <c r="Q81" i="6"/>
  <c r="Q78" i="6"/>
  <c r="M196" i="6"/>
  <c r="N196" i="6" s="1"/>
  <c r="M123" i="6"/>
  <c r="N123" i="6" s="1"/>
  <c r="N305" i="6"/>
  <c r="Q309" i="6"/>
  <c r="R309" i="6" s="1"/>
  <c r="N375" i="6"/>
  <c r="Q376" i="6"/>
  <c r="N235" i="6"/>
  <c r="Q239" i="6"/>
  <c r="R239" i="6" s="1"/>
  <c r="N368" i="6"/>
  <c r="Q372" i="6"/>
  <c r="R372" i="6" s="1"/>
  <c r="N263" i="6"/>
  <c r="Q267" i="6"/>
  <c r="R267" i="6" s="1"/>
  <c r="N284" i="6"/>
  <c r="Q288" i="6"/>
  <c r="R288" i="6" s="1"/>
  <c r="Q183" i="6"/>
  <c r="R183" i="6" s="1"/>
  <c r="N291" i="6"/>
  <c r="Q295" i="6"/>
  <c r="R295" i="6" s="1"/>
  <c r="N298" i="6"/>
  <c r="Q302" i="6"/>
  <c r="R302" i="6" s="1"/>
  <c r="N116" i="6"/>
  <c r="Q120" i="6"/>
  <c r="R120" i="6" s="1"/>
  <c r="N95" i="6"/>
  <c r="R99" i="6"/>
  <c r="N277" i="6"/>
  <c r="Q281" i="6"/>
  <c r="R281" i="6" s="1"/>
  <c r="N361" i="6"/>
  <c r="Q365" i="6"/>
  <c r="R365" i="6" s="1"/>
  <c r="N355" i="6"/>
  <c r="Q358" i="6"/>
  <c r="R358" i="6" s="1"/>
  <c r="N348" i="6"/>
  <c r="Q351" i="6"/>
  <c r="R351" i="6" s="1"/>
  <c r="N340" i="6"/>
  <c r="Q344" i="6"/>
  <c r="R344" i="6" s="1"/>
  <c r="N333" i="6"/>
  <c r="Q337" i="6"/>
  <c r="R337" i="6" s="1"/>
  <c r="N326" i="6"/>
  <c r="Q330" i="6"/>
  <c r="R330" i="6" s="1"/>
  <c r="N319" i="6"/>
  <c r="Q323" i="6"/>
  <c r="R323" i="6" s="1"/>
  <c r="N312" i="6"/>
  <c r="Q316" i="6"/>
  <c r="R316" i="6" s="1"/>
  <c r="N270" i="6"/>
  <c r="Q274" i="6"/>
  <c r="R274" i="6" s="1"/>
  <c r="N256" i="6"/>
  <c r="Q260" i="6"/>
  <c r="R260" i="6" s="1"/>
  <c r="N252" i="6"/>
  <c r="Q253" i="6"/>
  <c r="R253" i="6" s="1"/>
  <c r="N242" i="6"/>
  <c r="Q246" i="6"/>
  <c r="R246" i="6" s="1"/>
  <c r="N228" i="6"/>
  <c r="Q232" i="6"/>
  <c r="R232" i="6" s="1"/>
  <c r="N221" i="6"/>
  <c r="Q225" i="6"/>
  <c r="R225" i="6" s="1"/>
  <c r="N214" i="6"/>
  <c r="Q218" i="6"/>
  <c r="R218" i="6" s="1"/>
  <c r="Q211" i="6"/>
  <c r="R211" i="6" s="1"/>
  <c r="Q204" i="6"/>
  <c r="R204" i="6" s="1"/>
  <c r="Q190" i="6"/>
  <c r="R190" i="6" s="1"/>
  <c r="N172" i="6"/>
  <c r="Q176" i="6"/>
  <c r="R176" i="6" s="1"/>
  <c r="N165" i="6"/>
  <c r="Q169" i="6"/>
  <c r="R169" i="6" s="1"/>
  <c r="N158" i="6"/>
  <c r="Q162" i="6"/>
  <c r="R162" i="6" s="1"/>
  <c r="N151" i="6"/>
  <c r="Q155" i="6"/>
  <c r="R155" i="6" s="1"/>
  <c r="N144" i="6"/>
  <c r="Q148" i="6"/>
  <c r="R148" i="6" s="1"/>
  <c r="N106" i="6"/>
  <c r="N137" i="6"/>
  <c r="P137" i="6" s="1"/>
  <c r="Q141" i="6"/>
  <c r="R141" i="6" s="1"/>
  <c r="N110" i="6"/>
  <c r="N131" i="6"/>
  <c r="N130" i="6"/>
  <c r="N124" i="6"/>
  <c r="G32" i="6"/>
  <c r="G33" i="6"/>
  <c r="G34" i="6"/>
  <c r="G35" i="6"/>
  <c r="G39" i="6"/>
  <c r="G40" i="6"/>
  <c r="Q127" i="6" l="1"/>
  <c r="R127" i="6" s="1"/>
  <c r="M32" i="6"/>
  <c r="N32" i="6" s="1"/>
  <c r="P32" i="6" s="1"/>
  <c r="M33" i="6"/>
  <c r="N33" i="6" s="1"/>
  <c r="M25" i="6"/>
  <c r="N25" i="6" s="1"/>
  <c r="P25" i="6" s="1"/>
  <c r="Q197" i="6"/>
  <c r="R197" i="6" s="1"/>
  <c r="N18" i="6"/>
  <c r="P18" i="6" s="1"/>
  <c r="N13" i="6"/>
  <c r="O13" i="6" s="1"/>
  <c r="M34" i="6"/>
  <c r="N34" i="6" s="1"/>
  <c r="M35" i="6"/>
  <c r="N35" i="6" s="1"/>
  <c r="M39" i="6"/>
  <c r="N39" i="6" s="1"/>
  <c r="P39" i="6" s="1"/>
  <c r="M40" i="6"/>
  <c r="N40" i="6" s="1"/>
  <c r="N41" i="6"/>
  <c r="G29" i="6"/>
  <c r="G28" i="6"/>
  <c r="G27" i="6"/>
  <c r="G15" i="6"/>
  <c r="H15" i="6" s="1"/>
  <c r="M28" i="6" l="1"/>
  <c r="N28" i="6" s="1"/>
  <c r="M27" i="6"/>
  <c r="N27" i="6" s="1"/>
  <c r="M29" i="6"/>
  <c r="N29" i="6" s="1"/>
  <c r="M26" i="6"/>
  <c r="N26" i="6" s="1"/>
  <c r="P26" i="6" s="1"/>
  <c r="P27" i="6" s="1"/>
  <c r="N22" i="6"/>
  <c r="N15" i="6"/>
  <c r="N21" i="6"/>
  <c r="N19" i="6"/>
  <c r="P19" i="6" s="1"/>
  <c r="N20" i="6"/>
  <c r="N14" i="6"/>
  <c r="P14" i="6" s="1"/>
  <c r="O18" i="6"/>
  <c r="O25" i="6"/>
  <c r="P28" i="6" l="1"/>
  <c r="P29" i="6" s="1"/>
  <c r="P15" i="6"/>
  <c r="P20" i="6"/>
  <c r="P21" i="6" s="1"/>
  <c r="P22" i="6" s="1"/>
  <c r="O19" i="6"/>
  <c r="O20" i="6" s="1"/>
  <c r="O21" i="6" s="1"/>
  <c r="O22" i="6" s="1"/>
  <c r="O14" i="6"/>
  <c r="O15" i="6" s="1"/>
  <c r="O26" i="6"/>
  <c r="O27" i="6" s="1"/>
  <c r="O28" i="6" s="1"/>
  <c r="O29" i="6" s="1"/>
  <c r="O32" i="6" s="1"/>
  <c r="O33" i="6" s="1"/>
  <c r="O34" i="6" s="1"/>
  <c r="O35" i="6" s="1"/>
  <c r="O39" i="6" l="1"/>
  <c r="O40" i="6" s="1"/>
  <c r="O41" i="6" s="1"/>
  <c r="O42" i="6" s="1"/>
  <c r="O43" i="6" s="1"/>
  <c r="O46" i="6" s="1"/>
  <c r="O47" i="6" s="1"/>
  <c r="O48" i="6" s="1"/>
  <c r="O49" i="6" s="1"/>
  <c r="O50" i="6" s="1"/>
  <c r="O36" i="6"/>
  <c r="O53" i="6"/>
  <c r="O54" i="6" s="1"/>
  <c r="O55" i="6" s="1"/>
  <c r="O56" i="6" s="1"/>
  <c r="O57" i="6" s="1"/>
  <c r="O60" i="6" s="1"/>
  <c r="O61" i="6" s="1"/>
  <c r="O62" i="6" s="1"/>
  <c r="O63" i="6" s="1"/>
  <c r="O64" i="6" s="1"/>
  <c r="O67" i="6" s="1"/>
  <c r="P33" i="6"/>
  <c r="P34" i="6" s="1"/>
  <c r="P35" i="6" s="1"/>
  <c r="P36" i="6" s="1"/>
  <c r="O68" i="6" l="1"/>
  <c r="O69" i="6" s="1"/>
  <c r="O70" i="6" s="1"/>
  <c r="O71" i="6" s="1"/>
  <c r="O74" i="6" s="1"/>
  <c r="O75" i="6" s="1"/>
  <c r="O76" i="6" s="1"/>
  <c r="O77" i="6" s="1"/>
  <c r="O78" i="6" s="1"/>
  <c r="O81" i="6" s="1"/>
  <c r="O82" i="6" s="1"/>
  <c r="O83" i="6" s="1"/>
  <c r="O84" i="6" s="1"/>
  <c r="O85" i="6" s="1"/>
  <c r="O88" i="6" s="1"/>
  <c r="O89" i="6" s="1"/>
  <c r="O90" i="6" s="1"/>
  <c r="O91" i="6" s="1"/>
  <c r="O92" i="6" s="1"/>
  <c r="O95" i="6" s="1"/>
  <c r="O96" i="6" s="1"/>
  <c r="O97" i="6" s="1"/>
  <c r="O98" i="6" s="1"/>
  <c r="O99" i="6" s="1"/>
  <c r="O102" i="6" s="1"/>
  <c r="O103" i="6" s="1"/>
  <c r="O104" i="6" s="1"/>
  <c r="O105" i="6" s="1"/>
  <c r="O106" i="6" s="1"/>
  <c r="O109" i="6" s="1"/>
  <c r="O110" i="6" s="1"/>
  <c r="O111" i="6" s="1"/>
  <c r="O112" i="6" s="1"/>
  <c r="O113" i="6" s="1"/>
  <c r="O116" i="6" s="1"/>
  <c r="O117" i="6" s="1"/>
  <c r="O118" i="6" s="1"/>
  <c r="O119" i="6" s="1"/>
  <c r="O120" i="6" s="1"/>
  <c r="O123" i="6" s="1"/>
  <c r="O124" i="6" s="1"/>
  <c r="O125" i="6" s="1"/>
  <c r="O126" i="6" s="1"/>
  <c r="O127" i="6" s="1"/>
  <c r="O130" i="6" s="1"/>
  <c r="O131" i="6" s="1"/>
  <c r="O132" i="6" s="1"/>
  <c r="O133" i="6" s="1"/>
  <c r="O134" i="6" s="1"/>
  <c r="O137" i="6" s="1"/>
  <c r="O138" i="6" s="1"/>
  <c r="O139" i="6" s="1"/>
  <c r="O140" i="6" s="1"/>
  <c r="O141" i="6" s="1"/>
  <c r="O144" i="6" s="1"/>
  <c r="O145" i="6" s="1"/>
  <c r="O146" i="6" s="1"/>
  <c r="O147" i="6" s="1"/>
  <c r="O148" i="6" s="1"/>
  <c r="O151" i="6" s="1"/>
  <c r="O152" i="6" s="1"/>
  <c r="O153" i="6" s="1"/>
  <c r="O154" i="6" s="1"/>
  <c r="O155" i="6" s="1"/>
  <c r="O158" i="6" s="1"/>
  <c r="O159" i="6" s="1"/>
  <c r="O160" i="6" s="1"/>
  <c r="O161" i="6" s="1"/>
  <c r="O162" i="6" s="1"/>
  <c r="O165" i="6" s="1"/>
  <c r="O166" i="6" s="1"/>
  <c r="O167" i="6" s="1"/>
  <c r="O168" i="6" s="1"/>
  <c r="O169" i="6" s="1"/>
  <c r="O172" i="6" s="1"/>
  <c r="O173" i="6" s="1"/>
  <c r="O174" i="6" s="1"/>
  <c r="O175" i="6" s="1"/>
  <c r="O176" i="6" s="1"/>
  <c r="O179" i="6" s="1"/>
  <c r="O180" i="6" s="1"/>
  <c r="O181" i="6" s="1"/>
  <c r="O182" i="6" s="1"/>
  <c r="O183" i="6" s="1"/>
  <c r="O186" i="6" s="1"/>
  <c r="O187" i="6" s="1"/>
  <c r="O188" i="6" s="1"/>
  <c r="O189" i="6" s="1"/>
  <c r="O190" i="6" s="1"/>
  <c r="O193" i="6" s="1"/>
  <c r="O194" i="6" s="1"/>
  <c r="O195" i="6" s="1"/>
  <c r="O196" i="6" s="1"/>
  <c r="O197" i="6" s="1"/>
  <c r="O200" i="6" s="1"/>
  <c r="O201" i="6" s="1"/>
  <c r="O202" i="6" s="1"/>
  <c r="O203" i="6" s="1"/>
  <c r="O204" i="6" s="1"/>
  <c r="O207" i="6" s="1"/>
  <c r="O208" i="6" s="1"/>
  <c r="O209" i="6" s="1"/>
  <c r="O210" i="6" s="1"/>
  <c r="O211" i="6" s="1"/>
  <c r="O214" i="6" s="1"/>
  <c r="O215" i="6" s="1"/>
  <c r="O216" i="6" s="1"/>
  <c r="O217" i="6" s="1"/>
  <c r="O218" i="6" s="1"/>
  <c r="O221" i="6" s="1"/>
  <c r="O222" i="6" s="1"/>
  <c r="O223" i="6" s="1"/>
  <c r="O224" i="6" s="1"/>
  <c r="O225" i="6" s="1"/>
  <c r="O228" i="6" s="1"/>
  <c r="O229" i="6" s="1"/>
  <c r="O230" i="6" s="1"/>
  <c r="O231" i="6" s="1"/>
  <c r="O232" i="6" s="1"/>
  <c r="O235" i="6" s="1"/>
  <c r="O236" i="6" s="1"/>
  <c r="O237" i="6" s="1"/>
  <c r="O238" i="6" s="1"/>
  <c r="O239" i="6" s="1"/>
  <c r="O242" i="6" s="1"/>
  <c r="O243" i="6" s="1"/>
  <c r="O244" i="6" s="1"/>
  <c r="O245" i="6" s="1"/>
  <c r="O246" i="6" s="1"/>
  <c r="O249" i="6" s="1"/>
  <c r="O250" i="6" s="1"/>
  <c r="O251" i="6" s="1"/>
  <c r="O252" i="6" s="1"/>
  <c r="O253" i="6" s="1"/>
  <c r="O256" i="6" s="1"/>
  <c r="O257" i="6" s="1"/>
  <c r="O258" i="6" s="1"/>
  <c r="O259" i="6" s="1"/>
  <c r="O260" i="6" s="1"/>
  <c r="O263" i="6" s="1"/>
  <c r="O264" i="6" s="1"/>
  <c r="O265" i="6" s="1"/>
  <c r="O266" i="6" s="1"/>
  <c r="O267" i="6" s="1"/>
  <c r="O270" i="6" s="1"/>
  <c r="O271" i="6" s="1"/>
  <c r="O272" i="6" s="1"/>
  <c r="O273" i="6" s="1"/>
  <c r="O274" i="6" s="1"/>
  <c r="O277" i="6" s="1"/>
  <c r="O278" i="6" s="1"/>
  <c r="O279" i="6" s="1"/>
  <c r="O280" i="6" s="1"/>
  <c r="O281" i="6" s="1"/>
  <c r="O284" i="6" s="1"/>
  <c r="O285" i="6" s="1"/>
  <c r="O286" i="6" s="1"/>
  <c r="O287" i="6" s="1"/>
  <c r="O288" i="6" s="1"/>
  <c r="O291" i="6" s="1"/>
  <c r="O292" i="6" s="1"/>
  <c r="O293" i="6" s="1"/>
  <c r="O294" i="6" s="1"/>
  <c r="O295" i="6" s="1"/>
  <c r="O298" i="6" s="1"/>
  <c r="O299" i="6" s="1"/>
  <c r="O300" i="6" s="1"/>
  <c r="O301" i="6" s="1"/>
  <c r="O302" i="6" s="1"/>
  <c r="O305" i="6" s="1"/>
  <c r="O306" i="6" s="1"/>
  <c r="O307" i="6" s="1"/>
  <c r="O308" i="6" s="1"/>
  <c r="O309" i="6" s="1"/>
  <c r="O312" i="6" s="1"/>
  <c r="O313" i="6" s="1"/>
  <c r="O315" i="6" s="1"/>
  <c r="O316" i="6" s="1"/>
  <c r="O319" i="6" s="1"/>
  <c r="O320" i="6" s="1"/>
  <c r="O321" i="6" s="1"/>
  <c r="O322" i="6" s="1"/>
  <c r="O323" i="6" s="1"/>
  <c r="O326" i="6" s="1"/>
  <c r="O327" i="6" s="1"/>
  <c r="O328" i="6" s="1"/>
  <c r="O329" i="6" s="1"/>
  <c r="O330" i="6" s="1"/>
  <c r="O333" i="6" s="1"/>
  <c r="O334" i="6" s="1"/>
  <c r="O335" i="6" s="1"/>
  <c r="O336" i="6" s="1"/>
  <c r="O337" i="6" s="1"/>
  <c r="O340" i="6" s="1"/>
  <c r="O341" i="6" s="1"/>
  <c r="O342" i="6" s="1"/>
  <c r="O343" i="6" s="1"/>
  <c r="O344" i="6" s="1"/>
  <c r="O347" i="6" s="1"/>
  <c r="O348" i="6" s="1"/>
  <c r="O349" i="6" s="1"/>
  <c r="O350" i="6" s="1"/>
  <c r="O351" i="6" s="1"/>
  <c r="O354" i="6" s="1"/>
  <c r="O355" i="6" s="1"/>
  <c r="O356" i="6" s="1"/>
  <c r="O357" i="6" s="1"/>
  <c r="O358" i="6" s="1"/>
  <c r="O361" i="6" s="1"/>
  <c r="O362" i="6" s="1"/>
  <c r="O363" i="6" s="1"/>
  <c r="O364" i="6" s="1"/>
  <c r="O365" i="6" s="1"/>
  <c r="O368" i="6" s="1"/>
  <c r="O369" i="6" s="1"/>
  <c r="O370" i="6" s="1"/>
  <c r="O371" i="6" s="1"/>
  <c r="O372" i="6" s="1"/>
  <c r="O375" i="6" s="1"/>
  <c r="O376" i="6" s="1"/>
  <c r="O377" i="6" s="1"/>
  <c r="P40" i="6"/>
  <c r="P41" i="6" s="1"/>
  <c r="P42" i="6" l="1"/>
  <c r="P43" i="6" s="1"/>
  <c r="P47" i="6" s="1"/>
  <c r="P48" i="6" s="1"/>
  <c r="P49" i="6" s="1"/>
  <c r="P50" i="6" s="1"/>
  <c r="P54" i="6" s="1"/>
  <c r="P55" i="6" s="1"/>
  <c r="P56" i="6" s="1"/>
  <c r="P57" i="6" s="1"/>
  <c r="P60" i="6" s="1"/>
  <c r="P61" i="6" s="1"/>
  <c r="P62" i="6" s="1"/>
  <c r="P63" i="6" s="1"/>
  <c r="P64" i="6" s="1"/>
  <c r="P67" i="6" s="1"/>
  <c r="P68" i="6" s="1"/>
  <c r="P69" i="6" s="1"/>
  <c r="P70" i="6" s="1"/>
  <c r="P71" i="6" s="1"/>
  <c r="P74" i="6" s="1"/>
  <c r="P75" i="6" s="1"/>
  <c r="P76" i="6" s="1"/>
  <c r="P77" i="6" s="1"/>
  <c r="P81" i="6" l="1"/>
  <c r="P82" i="6" s="1"/>
  <c r="P83" i="6" s="1"/>
  <c r="P84" i="6" s="1"/>
  <c r="P85" i="6" s="1"/>
  <c r="P88" i="6" s="1"/>
  <c r="P89" i="6" s="1"/>
  <c r="P90" i="6" s="1"/>
  <c r="P91" i="6" s="1"/>
  <c r="P92" i="6" s="1"/>
  <c r="P95" i="6" s="1"/>
  <c r="P96" i="6" s="1"/>
  <c r="P97" i="6" s="1"/>
  <c r="P98" i="6" s="1"/>
  <c r="P99" i="6" s="1"/>
  <c r="P102" i="6" s="1"/>
  <c r="P103" i="6" s="1"/>
  <c r="P104" i="6" s="1"/>
  <c r="P105" i="6" s="1"/>
  <c r="P106" i="6" s="1"/>
  <c r="P109" i="6" s="1"/>
  <c r="P110" i="6" s="1"/>
  <c r="P111" i="6" s="1"/>
  <c r="P112" i="6" s="1"/>
  <c r="P113" i="6" s="1"/>
  <c r="P116" i="6" s="1"/>
  <c r="P117" i="6" s="1"/>
  <c r="P118" i="6" s="1"/>
  <c r="P119" i="6" s="1"/>
  <c r="P120" i="6" s="1"/>
  <c r="P123" i="6" s="1"/>
  <c r="P124" i="6" s="1"/>
  <c r="P125" i="6" s="1"/>
  <c r="P126" i="6" s="1"/>
  <c r="P127" i="6" s="1"/>
  <c r="P130" i="6" s="1"/>
  <c r="P131" i="6" s="1"/>
  <c r="P132" i="6" s="1"/>
  <c r="P133" i="6" s="1"/>
  <c r="P134" i="6" s="1"/>
  <c r="P138" i="6" s="1"/>
  <c r="P139" i="6" s="1"/>
  <c r="P140" i="6" s="1"/>
  <c r="P141" i="6" s="1"/>
  <c r="P144" i="6" s="1"/>
  <c r="P145" i="6" s="1"/>
  <c r="P146" i="6" s="1"/>
  <c r="P147" i="6" s="1"/>
  <c r="P148" i="6" s="1"/>
  <c r="P151" i="6" s="1"/>
  <c r="P152" i="6" s="1"/>
  <c r="P153" i="6" s="1"/>
  <c r="P154" i="6" s="1"/>
  <c r="P155" i="6" s="1"/>
  <c r="P158" i="6" s="1"/>
  <c r="P159" i="6" s="1"/>
  <c r="P160" i="6" s="1"/>
  <c r="P161" i="6" s="1"/>
  <c r="P162" i="6" s="1"/>
  <c r="P165" i="6" s="1"/>
  <c r="P166" i="6" s="1"/>
  <c r="P167" i="6" s="1"/>
  <c r="P168" i="6" s="1"/>
  <c r="P78" i="6"/>
  <c r="P172" i="6" l="1"/>
  <c r="P173" i="6" s="1"/>
  <c r="P174" i="6" s="1"/>
  <c r="P175" i="6" s="1"/>
  <c r="P176" i="6" s="1"/>
  <c r="P179" i="6" s="1"/>
  <c r="P180" i="6" s="1"/>
  <c r="P181" i="6" s="1"/>
  <c r="P182" i="6" s="1"/>
  <c r="P183" i="6" s="1"/>
  <c r="P186" i="6" s="1"/>
  <c r="P187" i="6" s="1"/>
  <c r="P188" i="6" s="1"/>
  <c r="P189" i="6" s="1"/>
  <c r="P190" i="6" s="1"/>
  <c r="P193" i="6" s="1"/>
  <c r="P194" i="6" s="1"/>
  <c r="P195" i="6" s="1"/>
  <c r="P196" i="6" s="1"/>
  <c r="P197" i="6" s="1"/>
  <c r="P200" i="6" s="1"/>
  <c r="P201" i="6" s="1"/>
  <c r="P202" i="6" s="1"/>
  <c r="P203" i="6" s="1"/>
  <c r="P204" i="6" s="1"/>
  <c r="P207" i="6" s="1"/>
  <c r="P208" i="6" s="1"/>
  <c r="P209" i="6" s="1"/>
  <c r="P210" i="6" s="1"/>
  <c r="P211" i="6" s="1"/>
  <c r="P214" i="6" s="1"/>
  <c r="P215" i="6" s="1"/>
  <c r="P216" i="6" s="1"/>
  <c r="P217" i="6" s="1"/>
  <c r="P218" i="6" s="1"/>
  <c r="P221" i="6" s="1"/>
  <c r="P222" i="6" s="1"/>
  <c r="P223" i="6" s="1"/>
  <c r="P224" i="6" s="1"/>
  <c r="P225" i="6" s="1"/>
  <c r="P228" i="6" s="1"/>
  <c r="P229" i="6" s="1"/>
  <c r="P230" i="6" s="1"/>
  <c r="P231" i="6" s="1"/>
  <c r="P232" i="6" s="1"/>
  <c r="P235" i="6" s="1"/>
  <c r="P236" i="6" s="1"/>
  <c r="P237" i="6" s="1"/>
  <c r="P238" i="6" s="1"/>
  <c r="P239" i="6" s="1"/>
  <c r="P242" i="6" s="1"/>
  <c r="P243" i="6" s="1"/>
  <c r="P244" i="6" s="1"/>
  <c r="P245" i="6" s="1"/>
  <c r="P246" i="6" s="1"/>
  <c r="P249" i="6" s="1"/>
  <c r="P250" i="6" s="1"/>
  <c r="P251" i="6" s="1"/>
  <c r="P252" i="6" s="1"/>
  <c r="P253" i="6" s="1"/>
  <c r="P256" i="6" s="1"/>
  <c r="P257" i="6" s="1"/>
  <c r="P258" i="6" s="1"/>
  <c r="P259" i="6" s="1"/>
  <c r="P260" i="6" s="1"/>
  <c r="P263" i="6" s="1"/>
  <c r="P264" i="6" s="1"/>
  <c r="P265" i="6" s="1"/>
  <c r="P266" i="6" s="1"/>
  <c r="P267" i="6" s="1"/>
  <c r="P270" i="6" s="1"/>
  <c r="P271" i="6" s="1"/>
  <c r="P272" i="6" s="1"/>
  <c r="P273" i="6" s="1"/>
  <c r="P274" i="6" s="1"/>
  <c r="P277" i="6" s="1"/>
  <c r="P278" i="6" s="1"/>
  <c r="P279" i="6" s="1"/>
  <c r="P280" i="6" s="1"/>
  <c r="P281" i="6" s="1"/>
  <c r="P284" i="6" s="1"/>
  <c r="P285" i="6" s="1"/>
  <c r="P286" i="6" s="1"/>
  <c r="P287" i="6" s="1"/>
  <c r="P288" i="6" s="1"/>
  <c r="P291" i="6" s="1"/>
  <c r="P292" i="6" s="1"/>
  <c r="P293" i="6" s="1"/>
  <c r="P294" i="6" s="1"/>
  <c r="P295" i="6" s="1"/>
  <c r="P298" i="6" s="1"/>
  <c r="P299" i="6" s="1"/>
  <c r="P300" i="6" s="1"/>
  <c r="P301" i="6" s="1"/>
  <c r="P302" i="6" s="1"/>
  <c r="P305" i="6" s="1"/>
  <c r="P306" i="6" s="1"/>
  <c r="P307" i="6" s="1"/>
  <c r="P308" i="6" s="1"/>
  <c r="P309" i="6" s="1"/>
  <c r="P312" i="6" s="1"/>
  <c r="P313" i="6" s="1"/>
  <c r="P314" i="6" s="1"/>
  <c r="P315" i="6" s="1"/>
  <c r="P316" i="6" s="1"/>
  <c r="P319" i="6" s="1"/>
  <c r="P320" i="6" s="1"/>
  <c r="P321" i="6" s="1"/>
  <c r="P322" i="6" s="1"/>
  <c r="P323" i="6" s="1"/>
  <c r="P326" i="6" s="1"/>
  <c r="P327" i="6" s="1"/>
  <c r="P328" i="6" s="1"/>
  <c r="P329" i="6" s="1"/>
  <c r="P169" i="6"/>
  <c r="P333" i="6" l="1"/>
  <c r="P334" i="6" s="1"/>
  <c r="P335" i="6" s="1"/>
  <c r="P336" i="6" s="1"/>
  <c r="P337" i="6" s="1"/>
  <c r="P340" i="6" s="1"/>
  <c r="P341" i="6" s="1"/>
  <c r="P342" i="6" s="1"/>
  <c r="P343" i="6" s="1"/>
  <c r="P344" i="6" s="1"/>
  <c r="P347" i="6" s="1"/>
  <c r="P348" i="6" s="1"/>
  <c r="P349" i="6" s="1"/>
  <c r="P350" i="6" s="1"/>
  <c r="P351" i="6" s="1"/>
  <c r="P355" i="6" s="1"/>
  <c r="P356" i="6" s="1"/>
  <c r="P357" i="6" s="1"/>
  <c r="P358" i="6" s="1"/>
  <c r="P361" i="6" s="1"/>
  <c r="P362" i="6" s="1"/>
  <c r="P363" i="6" s="1"/>
  <c r="P364" i="6" s="1"/>
  <c r="P365" i="6" s="1"/>
  <c r="P368" i="6" s="1"/>
  <c r="P369" i="6" s="1"/>
  <c r="P370" i="6" s="1"/>
  <c r="P371" i="6" s="1"/>
  <c r="P372" i="6" s="1"/>
  <c r="P375" i="6" s="1"/>
  <c r="P376" i="6" s="1"/>
  <c r="P377" i="6" s="1"/>
  <c r="P330" i="6"/>
  <c r="P54" i="14"/>
  <c r="P55" i="14"/>
  <c r="P56" i="14"/>
  <c r="P59" i="14" s="1"/>
  <c r="P60" i="14" s="1"/>
  <c r="P61" i="14" s="1"/>
  <c r="P62" i="14" s="1"/>
  <c r="P63" i="14" s="1"/>
  <c r="P66" i="14" s="1"/>
  <c r="P67" i="14" s="1"/>
  <c r="P68" i="14" s="1"/>
  <c r="P69" i="14" s="1"/>
  <c r="P7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E6AEF-8D74-4AB4-8AB7-4FEEBEDBABCB}" keepAlive="1" name="Consulta - new" description="Conexión a la consulta 'new' en el libro." type="5" refreshedVersion="6" background="1">
    <dbPr connection="Provider=Microsoft.Mashup.OleDb.1;Data Source=$Workbook$;Location=new;Extended Properties=&quot;&quot;" command="SELECT * FROM [new]"/>
  </connection>
</connections>
</file>

<file path=xl/sharedStrings.xml><?xml version="1.0" encoding="utf-8"?>
<sst xmlns="http://schemas.openxmlformats.org/spreadsheetml/2006/main" count="1301" uniqueCount="74">
  <si>
    <t>HORA ENTRADA</t>
  </si>
  <si>
    <t>HORA SALIDA</t>
  </si>
  <si>
    <t>TOTAL H TRABAJADAS</t>
  </si>
  <si>
    <t>CAFÉ SALIDA</t>
  </si>
  <si>
    <t>CAFÉ ENTRADA</t>
  </si>
  <si>
    <t>BALANCE CAFÉ</t>
  </si>
  <si>
    <t>Lunes</t>
  </si>
  <si>
    <t>Martes</t>
  </si>
  <si>
    <t>Jueves</t>
  </si>
  <si>
    <t>Viernes</t>
  </si>
  <si>
    <t>SALTO CAFÉ</t>
  </si>
  <si>
    <t>BALANCE TOTAL</t>
  </si>
  <si>
    <t>BALANCE DIARIO</t>
  </si>
  <si>
    <t>COMIDA SALIDA</t>
  </si>
  <si>
    <t>COMIDA ENTRADA</t>
  </si>
  <si>
    <t>SALDO COMIDA</t>
  </si>
  <si>
    <t>BALANCE MENSUAL</t>
  </si>
  <si>
    <t>JORNADA</t>
  </si>
  <si>
    <t>INVIERNO</t>
  </si>
  <si>
    <t>VERANO</t>
  </si>
  <si>
    <t>H. MAX</t>
  </si>
  <si>
    <t>Sábado</t>
  </si>
  <si>
    <t>Domingo</t>
  </si>
  <si>
    <t>Miércoles</t>
  </si>
  <si>
    <t>CAFÉ</t>
  </si>
  <si>
    <t>MAÑANA</t>
  </si>
  <si>
    <t>TARDE</t>
  </si>
  <si>
    <t>COMIDA</t>
  </si>
  <si>
    <t>AÑO 2024</t>
  </si>
  <si>
    <t>SEMANA</t>
  </si>
  <si>
    <t>Miercoles</t>
  </si>
  <si>
    <t>TOTAL SEMANA</t>
  </si>
  <si>
    <t>PROMEDIO DIARIO</t>
  </si>
  <si>
    <t>incidencia visita medico huca</t>
  </si>
  <si>
    <t>incidencia visita medico</t>
  </si>
  <si>
    <t>Nombre :</t>
  </si>
  <si>
    <t>Jorge Alvare</t>
  </si>
  <si>
    <t>Tarifa por hora:</t>
  </si>
  <si>
    <r>
      <rPr>
        <sz val="11"/>
        <color rgb="FF40749B"/>
        <rFont val="Calibri"/>
        <family val="2"/>
      </rPr>
      <t xml:space="preserve">Semana de </t>
    </r>
    <r>
      <rPr>
        <sz val="11"/>
        <color theme="5"/>
        <rFont val="Calibri"/>
        <family val="2"/>
      </rPr>
      <t>06/01/09</t>
    </r>
  </si>
  <si>
    <t>Acceso</t>
  </si>
  <si>
    <t>Almuerzo Comienza</t>
  </si>
  <si>
    <t>Almuerzo Termina</t>
  </si>
  <si>
    <t>Cerrar sesión</t>
  </si>
  <si>
    <t xml:space="preserve">Horas Totales </t>
  </si>
  <si>
    <t>Pago Total</t>
  </si>
  <si>
    <t>TOTAL</t>
  </si>
  <si>
    <t>Instrucciones:</t>
  </si>
  <si>
    <t>Para su conveniencia, esta sección está fuera del área imprimible.</t>
  </si>
  <si>
    <t>Ingrese todas sus horas en formato HH:MM.</t>
  </si>
  <si>
    <t xml:space="preserve">    9:00 AM 9--dos puntos--00--espacio--AM</t>
  </si>
  <si>
    <t>9--colon--00--space--AM</t>
  </si>
  <si>
    <t xml:space="preserve">    5:30 PM 5--dos puntos--30--espacio--PM</t>
  </si>
  <si>
    <t>5--colon--30--space--PM</t>
  </si>
  <si>
    <t>Ingrese la hora de inicio del almuerzo y la hora de finalización del almuerzo</t>
  </si>
  <si>
    <t>Excel deducirá automáticamente el almuerzo del total de horas y el pago.</t>
  </si>
  <si>
    <t>Nacho</t>
  </si>
  <si>
    <t>Hay que hacer 38:15 por semana</t>
  </si>
  <si>
    <r>
      <rPr>
        <sz val="11"/>
        <color rgb="FF40749B"/>
        <rFont val="Calibri"/>
        <family val="2"/>
      </rPr>
      <t xml:space="preserve">Semana de </t>
    </r>
    <r>
      <rPr>
        <sz val="11"/>
        <color theme="5"/>
        <rFont val="Calibri"/>
        <family val="2"/>
      </rPr>
      <t>22/01/2024</t>
    </r>
  </si>
  <si>
    <t>Invierno</t>
  </si>
  <si>
    <t>SEMANA invierno</t>
  </si>
  <si>
    <t>puente semana santa</t>
  </si>
  <si>
    <t>Total Mes</t>
  </si>
  <si>
    <t>Promedio diario</t>
  </si>
  <si>
    <t>enfermedad con baja</t>
  </si>
  <si>
    <t>turno navidad</t>
  </si>
  <si>
    <t>reyes</t>
  </si>
  <si>
    <t>añonuevo</t>
  </si>
  <si>
    <t>festivo dia del trabajador</t>
  </si>
  <si>
    <t>vacaciones, puente martes de campo</t>
  </si>
  <si>
    <t>Martes de campo</t>
  </si>
  <si>
    <t>visita medico</t>
  </si>
  <si>
    <t>Promedio dia</t>
  </si>
  <si>
    <t>Horas teoricas</t>
  </si>
  <si>
    <t>Exceso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</si>
</sst>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m;@"/>
    <numFmt numFmtId="165" formatCode="[h]:mm"/>
    <numFmt numFmtId="166" formatCode="[h]:mm:ss;@"/>
    <numFmt numFmtId="167" formatCode="&quot;$&quot;#,##0.00_);[Red]\(&quot;$&quot;#,##0.00\)"/>
    <numFmt numFmtId="168" formatCode="&quot;$&quot;#,##0_);[Red]\(&quot;$&quot;#,##0\)"/>
    <numFmt numFmtId="169" formatCode="&quot;$&quot;#,##0.00"/>
    <numFmt numFmtId="170" formatCode="[$-C0A]d\-mmm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BD582C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1"/>
      <color theme="1"/>
      <name val="Calibri"/>
      <family val="2"/>
    </font>
    <font>
      <sz val="11"/>
      <color rgb="FF40749B"/>
      <name val="Calibri"/>
      <family val="2"/>
    </font>
    <font>
      <sz val="11"/>
      <color theme="5"/>
      <name val="Calibri"/>
      <family val="2"/>
    </font>
    <font>
      <sz val="11"/>
      <color rgb="FF40749B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0" tint="-0.34998626667073579"/>
      <name val="Calibri"/>
      <family val="2"/>
    </font>
    <font>
      <sz val="11"/>
      <color theme="5" tint="0.39997558519241921"/>
      <name val="Calibri"/>
      <family val="2"/>
      <scheme val="minor"/>
    </font>
    <font>
      <sz val="14"/>
      <color rgb="FF40749B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40749B"/>
      </bottom>
      <diagonal/>
    </border>
    <border>
      <left/>
      <right/>
      <top style="thin">
        <color rgb="FF40749B"/>
      </top>
      <bottom style="thin">
        <color rgb="FF40749B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medium">
        <color rgb="FF40749B"/>
      </bottom>
      <diagonal/>
    </border>
    <border>
      <left/>
      <right/>
      <top style="medium">
        <color rgb="FF40749B"/>
      </top>
      <bottom style="thin">
        <color rgb="FF40749B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Fill="1"/>
    <xf numFmtId="0" fontId="3" fillId="0" borderId="0" xfId="0" applyFont="1" applyBorder="1" applyAlignment="1">
      <alignment horizontal="center"/>
    </xf>
    <xf numFmtId="0" fontId="0" fillId="0" borderId="0" xfId="0" applyFont="1"/>
    <xf numFmtId="0" fontId="0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20" fontId="4" fillId="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13" xfId="0" applyFill="1" applyBorder="1" applyAlignment="1">
      <alignment wrapText="1"/>
    </xf>
    <xf numFmtId="164" fontId="0" fillId="0" borderId="13" xfId="0" applyNumberFormat="1" applyFill="1" applyBorder="1" applyAlignment="1">
      <alignment horizontal="center" vertical="center"/>
    </xf>
    <xf numFmtId="164" fontId="0" fillId="0" borderId="13" xfId="0" applyNumberFormat="1" applyFill="1" applyBorder="1" applyAlignment="1">
      <alignment vertical="center"/>
    </xf>
    <xf numFmtId="164" fontId="0" fillId="0" borderId="13" xfId="0" applyNumberFormat="1" applyFill="1" applyBorder="1"/>
    <xf numFmtId="20" fontId="0" fillId="0" borderId="13" xfId="0" applyNumberFormat="1" applyFill="1" applyBorder="1"/>
    <xf numFmtId="46" fontId="0" fillId="0" borderId="13" xfId="0" applyNumberFormat="1" applyFill="1" applyBorder="1" applyAlignment="1">
      <alignment horizontal="right"/>
    </xf>
    <xf numFmtId="46" fontId="0" fillId="0" borderId="13" xfId="0" applyNumberFormat="1" applyFill="1" applyBorder="1"/>
    <xf numFmtId="164" fontId="0" fillId="0" borderId="14" xfId="0" applyNumberFormat="1" applyFill="1" applyBorder="1" applyAlignment="1">
      <alignment horizontal="center" vertical="center"/>
    </xf>
    <xf numFmtId="164" fontId="0" fillId="0" borderId="14" xfId="0" applyNumberFormat="1" applyFill="1" applyBorder="1" applyAlignment="1">
      <alignment vertical="center"/>
    </xf>
    <xf numFmtId="164" fontId="0" fillId="0" borderId="14" xfId="0" applyNumberFormat="1" applyFill="1" applyBorder="1"/>
    <xf numFmtId="20" fontId="0" fillId="0" borderId="14" xfId="0" applyNumberFormat="1" applyFill="1" applyBorder="1"/>
    <xf numFmtId="46" fontId="0" fillId="0" borderId="14" xfId="0" applyNumberFormat="1" applyFill="1" applyBorder="1" applyAlignment="1">
      <alignment horizontal="right"/>
    </xf>
    <xf numFmtId="46" fontId="0" fillId="0" borderId="14" xfId="0" applyNumberFormat="1" applyFill="1" applyBorder="1"/>
    <xf numFmtId="46" fontId="0" fillId="4" borderId="14" xfId="0" applyNumberFormat="1" applyFill="1" applyBorder="1" applyAlignment="1">
      <alignment horizontal="center" vertical="center"/>
    </xf>
    <xf numFmtId="46" fontId="0" fillId="4" borderId="14" xfId="0" applyNumberFormat="1" applyFill="1" applyBorder="1"/>
    <xf numFmtId="20" fontId="0" fillId="4" borderId="14" xfId="0" applyNumberFormat="1" applyFill="1" applyBorder="1"/>
    <xf numFmtId="0" fontId="0" fillId="4" borderId="14" xfId="0" applyFill="1" applyBorder="1" applyAlignment="1">
      <alignment horizontal="center" vertical="center"/>
    </xf>
    <xf numFmtId="0" fontId="0" fillId="4" borderId="14" xfId="0" applyFill="1" applyBorder="1"/>
    <xf numFmtId="164" fontId="0" fillId="0" borderId="14" xfId="0" applyNumberFormat="1" applyBorder="1" applyAlignment="1">
      <alignment horizontal="center" vertical="center"/>
    </xf>
    <xf numFmtId="164" fontId="0" fillId="0" borderId="14" xfId="0" applyNumberFormat="1" applyBorder="1"/>
    <xf numFmtId="20" fontId="0" fillId="0" borderId="14" xfId="0" applyNumberFormat="1" applyBorder="1"/>
    <xf numFmtId="46" fontId="0" fillId="0" borderId="14" xfId="0" applyNumberFormat="1" applyBorder="1"/>
    <xf numFmtId="164" fontId="0" fillId="4" borderId="14" xfId="0" applyNumberFormat="1" applyFill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20" fontId="0" fillId="3" borderId="14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wrapText="1"/>
    </xf>
    <xf numFmtId="20" fontId="0" fillId="4" borderId="14" xfId="0" applyNumberFormat="1" applyFill="1" applyBorder="1" applyAlignment="1">
      <alignment horizontal="center" vertical="center"/>
    </xf>
    <xf numFmtId="46" fontId="0" fillId="4" borderId="14" xfId="0" applyNumberFormat="1" applyFill="1" applyBorder="1" applyAlignment="1">
      <alignment horizontal="right"/>
    </xf>
    <xf numFmtId="16" fontId="0" fillId="0" borderId="12" xfId="0" applyNumberFormat="1" applyFill="1" applyBorder="1" applyAlignment="1">
      <alignment horizontal="center" vertical="center"/>
    </xf>
    <xf numFmtId="16" fontId="0" fillId="4" borderId="12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wrapText="1"/>
    </xf>
    <xf numFmtId="0" fontId="0" fillId="4" borderId="14" xfId="0" applyFill="1" applyBorder="1" applyAlignment="1">
      <alignment wrapText="1"/>
    </xf>
    <xf numFmtId="0" fontId="0" fillId="0" borderId="15" xfId="0" applyFill="1" applyBorder="1" applyAlignment="1">
      <alignment wrapText="1"/>
    </xf>
    <xf numFmtId="16" fontId="0" fillId="0" borderId="16" xfId="0" applyNumberFormat="1" applyFill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0" fontId="0" fillId="0" borderId="15" xfId="0" applyNumberFormat="1" applyBorder="1"/>
    <xf numFmtId="46" fontId="0" fillId="0" borderId="15" xfId="0" applyNumberFormat="1" applyFill="1" applyBorder="1" applyAlignment="1">
      <alignment horizontal="right"/>
    </xf>
    <xf numFmtId="46" fontId="0" fillId="0" borderId="15" xfId="0" applyNumberFormat="1" applyBorder="1"/>
    <xf numFmtId="0" fontId="0" fillId="0" borderId="7" xfId="0" applyBorder="1" applyAlignment="1">
      <alignment horizontal="center" vertical="center"/>
    </xf>
    <xf numFmtId="20" fontId="0" fillId="0" borderId="0" xfId="0" applyNumberFormat="1"/>
    <xf numFmtId="20" fontId="0" fillId="8" borderId="14" xfId="0" applyNumberFormat="1" applyFill="1" applyBorder="1" applyAlignment="1">
      <alignment horizontal="center" vertical="center"/>
    </xf>
    <xf numFmtId="164" fontId="0" fillId="8" borderId="14" xfId="0" applyNumberForma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20" fontId="0" fillId="8" borderId="14" xfId="0" applyNumberFormat="1" applyFill="1" applyBorder="1"/>
    <xf numFmtId="46" fontId="0" fillId="0" borderId="18" xfId="0" applyNumberFormat="1" applyFill="1" applyBorder="1"/>
    <xf numFmtId="46" fontId="0" fillId="0" borderId="19" xfId="0" applyNumberFormat="1" applyFill="1" applyBorder="1"/>
    <xf numFmtId="46" fontId="0" fillId="4" borderId="19" xfId="0" applyNumberFormat="1" applyFill="1" applyBorder="1"/>
    <xf numFmtId="0" fontId="0" fillId="4" borderId="19" xfId="0" applyFill="1" applyBorder="1"/>
    <xf numFmtId="46" fontId="0" fillId="0" borderId="19" xfId="0" applyNumberFormat="1" applyBorder="1"/>
    <xf numFmtId="46" fontId="0" fillId="0" borderId="20" xfId="0" applyNumberFormat="1" applyBorder="1"/>
    <xf numFmtId="0" fontId="1" fillId="2" borderId="21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4" xfId="0" applyBorder="1"/>
    <xf numFmtId="165" fontId="0" fillId="0" borderId="4" xfId="0" applyNumberFormat="1" applyBorder="1"/>
    <xf numFmtId="20" fontId="0" fillId="10" borderId="14" xfId="0" applyNumberFormat="1" applyFont="1" applyFill="1" applyBorder="1" applyAlignment="1">
      <alignment horizontal="center" vertical="center"/>
    </xf>
    <xf numFmtId="164" fontId="0" fillId="10" borderId="14" xfId="0" applyNumberFormat="1" applyFont="1" applyFill="1" applyBorder="1" applyAlignment="1">
      <alignment horizontal="center" vertical="center"/>
    </xf>
    <xf numFmtId="20" fontId="0" fillId="10" borderId="14" xfId="0" applyNumberFormat="1" applyFont="1" applyFill="1" applyBorder="1"/>
    <xf numFmtId="20" fontId="0" fillId="10" borderId="14" xfId="0" applyNumberFormat="1" applyFill="1" applyBorder="1" applyAlignment="1">
      <alignment horizontal="center" vertical="center"/>
    </xf>
    <xf numFmtId="164" fontId="0" fillId="10" borderId="14" xfId="0" applyNumberFormat="1" applyFill="1" applyBorder="1" applyAlignment="1">
      <alignment horizontal="center" vertical="center"/>
    </xf>
    <xf numFmtId="20" fontId="0" fillId="10" borderId="14" xfId="0" applyNumberFormat="1" applyFill="1" applyBorder="1"/>
    <xf numFmtId="20" fontId="1" fillId="0" borderId="14" xfId="0" applyNumberFormat="1" applyFont="1" applyBorder="1" applyAlignment="1">
      <alignment horizontal="center" vertical="center"/>
    </xf>
    <xf numFmtId="20" fontId="0" fillId="11" borderId="14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20" fontId="0" fillId="11" borderId="14" xfId="0" applyNumberFormat="1" applyFill="1" applyBorder="1"/>
    <xf numFmtId="46" fontId="0" fillId="11" borderId="14" xfId="0" applyNumberFormat="1" applyFill="1" applyBorder="1" applyAlignment="1">
      <alignment horizontal="right"/>
    </xf>
    <xf numFmtId="46" fontId="0" fillId="11" borderId="14" xfId="0" applyNumberFormat="1" applyFill="1" applyBorder="1"/>
    <xf numFmtId="166" fontId="0" fillId="0" borderId="0" xfId="0" applyNumberFormat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8" fillId="0" borderId="0" xfId="0" applyFont="1"/>
    <xf numFmtId="0" fontId="9" fillId="0" borderId="22" xfId="0" applyFont="1" applyBorder="1" applyProtection="1">
      <protection locked="0"/>
    </xf>
    <xf numFmtId="0" fontId="10" fillId="0" borderId="0" xfId="0" applyFont="1"/>
    <xf numFmtId="167" fontId="9" fillId="0" borderId="23" xfId="0" applyNumberFormat="1" applyFont="1" applyBorder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left"/>
      <protection locked="0"/>
    </xf>
    <xf numFmtId="0" fontId="11" fillId="0" borderId="0" xfId="1" applyFill="1" applyBorder="1" applyAlignment="1" applyProtection="1"/>
    <xf numFmtId="0" fontId="12" fillId="0" borderId="0" xfId="1" applyFont="1" applyFill="1" applyBorder="1" applyAlignment="1" applyProtection="1">
      <protection locked="0"/>
    </xf>
    <xf numFmtId="0" fontId="11" fillId="0" borderId="0" xfId="1" applyFill="1" applyBorder="1" applyAlignment="1" applyProtection="1">
      <protection locked="0"/>
    </xf>
    <xf numFmtId="0" fontId="13" fillId="0" borderId="24" xfId="0" applyFont="1" applyBorder="1" applyProtection="1">
      <protection locked="0"/>
    </xf>
    <xf numFmtId="0" fontId="16" fillId="0" borderId="25" xfId="0" applyFont="1" applyBorder="1" applyAlignment="1" applyProtection="1">
      <alignment horizontal="right"/>
      <protection locked="0"/>
    </xf>
    <xf numFmtId="0" fontId="16" fillId="0" borderId="25" xfId="0" applyFont="1" applyBorder="1" applyAlignment="1" applyProtection="1">
      <alignment horizontal="right"/>
      <protection hidden="1"/>
    </xf>
    <xf numFmtId="0" fontId="17" fillId="0" borderId="0" xfId="0" applyFont="1"/>
    <xf numFmtId="0" fontId="16" fillId="0" borderId="26" xfId="0" applyFont="1" applyBorder="1"/>
    <xf numFmtId="18" fontId="9" fillId="0" borderId="26" xfId="0" applyNumberFormat="1" applyFont="1" applyBorder="1" applyProtection="1">
      <protection locked="0"/>
    </xf>
    <xf numFmtId="18" fontId="18" fillId="3" borderId="26" xfId="0" applyNumberFormat="1" applyFont="1" applyFill="1" applyBorder="1" applyProtection="1">
      <protection locked="0"/>
    </xf>
    <xf numFmtId="165" fontId="8" fillId="0" borderId="26" xfId="0" applyNumberFormat="1" applyFont="1" applyBorder="1" applyProtection="1">
      <protection hidden="1"/>
    </xf>
    <xf numFmtId="169" fontId="8" fillId="0" borderId="26" xfId="0" applyNumberFormat="1" applyFont="1" applyBorder="1" applyProtection="1">
      <protection hidden="1"/>
    </xf>
    <xf numFmtId="169" fontId="18" fillId="0" borderId="0" xfId="0" applyNumberFormat="1" applyFont="1" applyProtection="1">
      <protection hidden="1"/>
    </xf>
    <xf numFmtId="0" fontId="19" fillId="0" borderId="0" xfId="0" applyFont="1"/>
    <xf numFmtId="0" fontId="16" fillId="0" borderId="23" xfId="0" applyFont="1" applyBorder="1"/>
    <xf numFmtId="18" fontId="18" fillId="3" borderId="23" xfId="0" applyNumberFormat="1" applyFont="1" applyFill="1" applyBorder="1" applyProtection="1">
      <protection locked="0"/>
    </xf>
    <xf numFmtId="18" fontId="9" fillId="0" borderId="23" xfId="0" applyNumberFormat="1" applyFont="1" applyBorder="1" applyProtection="1">
      <protection locked="0"/>
    </xf>
    <xf numFmtId="165" fontId="8" fillId="0" borderId="23" xfId="0" applyNumberFormat="1" applyFont="1" applyBorder="1" applyProtection="1">
      <protection hidden="1"/>
    </xf>
    <xf numFmtId="169" fontId="8" fillId="0" borderId="23" xfId="0" applyNumberFormat="1" applyFont="1" applyBorder="1" applyProtection="1">
      <protection hidden="1"/>
    </xf>
    <xf numFmtId="0" fontId="20" fillId="0" borderId="0" xfId="1" applyFont="1" applyFill="1" applyBorder="1" applyAlignment="1" applyProtection="1"/>
    <xf numFmtId="18" fontId="0" fillId="0" borderId="0" xfId="0" applyNumberFormat="1" applyProtection="1">
      <protection locked="0"/>
    </xf>
    <xf numFmtId="18" fontId="16" fillId="0" borderId="0" xfId="0" applyNumberFormat="1" applyFont="1" applyProtection="1">
      <protection locked="0"/>
    </xf>
    <xf numFmtId="18" fontId="21" fillId="0" borderId="0" xfId="0" applyNumberFormat="1" applyFont="1" applyProtection="1">
      <protection locked="0"/>
    </xf>
    <xf numFmtId="165" fontId="0" fillId="0" borderId="0" xfId="0" applyNumberFormat="1" applyProtection="1">
      <protection hidden="1"/>
    </xf>
    <xf numFmtId="165" fontId="0" fillId="0" borderId="0" xfId="0" applyNumberFormat="1" applyProtection="1">
      <protection locked="0"/>
    </xf>
    <xf numFmtId="165" fontId="21" fillId="0" borderId="0" xfId="0" applyNumberFormat="1" applyFont="1" applyProtection="1">
      <protection locked="0"/>
    </xf>
    <xf numFmtId="0" fontId="22" fillId="0" borderId="25" xfId="0" applyFont="1" applyBorder="1" applyProtection="1">
      <protection locked="0"/>
    </xf>
    <xf numFmtId="165" fontId="22" fillId="0" borderId="25" xfId="0" applyNumberFormat="1" applyFont="1" applyBorder="1" applyProtection="1">
      <protection hidden="1"/>
    </xf>
    <xf numFmtId="169" fontId="22" fillId="0" borderId="25" xfId="0" applyNumberFormat="1" applyFont="1" applyBorder="1" applyProtection="1">
      <protection hidden="1"/>
    </xf>
    <xf numFmtId="0" fontId="23" fillId="0" borderId="0" xfId="0" applyFont="1"/>
    <xf numFmtId="0" fontId="24" fillId="0" borderId="0" xfId="0" applyFont="1"/>
    <xf numFmtId="0" fontId="7" fillId="0" borderId="0" xfId="0" applyFont="1"/>
    <xf numFmtId="0" fontId="18" fillId="0" borderId="0" xfId="0" applyFont="1"/>
    <xf numFmtId="0" fontId="25" fillId="0" borderId="0" xfId="0" applyFont="1" applyProtection="1">
      <protection locked="0"/>
    </xf>
    <xf numFmtId="0" fontId="0" fillId="0" borderId="28" xfId="0" applyFill="1" applyBorder="1" applyAlignment="1">
      <alignment wrapText="1"/>
    </xf>
    <xf numFmtId="20" fontId="0" fillId="0" borderId="28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0" fontId="0" fillId="0" borderId="28" xfId="0" applyNumberFormat="1" applyBorder="1"/>
    <xf numFmtId="46" fontId="0" fillId="0" borderId="28" xfId="0" applyNumberFormat="1" applyFill="1" applyBorder="1" applyAlignment="1">
      <alignment horizontal="right"/>
    </xf>
    <xf numFmtId="46" fontId="0" fillId="0" borderId="28" xfId="0" applyNumberFormat="1" applyBorder="1"/>
    <xf numFmtId="46" fontId="0" fillId="0" borderId="29" xfId="0" applyNumberFormat="1" applyBorder="1"/>
    <xf numFmtId="20" fontId="0" fillId="9" borderId="14" xfId="0" applyNumberFormat="1" applyFill="1" applyBorder="1" applyAlignment="1">
      <alignment horizontal="center" vertical="center"/>
    </xf>
    <xf numFmtId="164" fontId="0" fillId="0" borderId="14" xfId="0" applyNumberFormat="1" applyFill="1" applyBorder="1" applyAlignment="1">
      <alignment horizontal="right" vertical="center"/>
    </xf>
    <xf numFmtId="170" fontId="0" fillId="0" borderId="12" xfId="0" applyNumberFormat="1" applyFill="1" applyBorder="1" applyAlignment="1">
      <alignment horizontal="center" vertical="center"/>
    </xf>
    <xf numFmtId="170" fontId="0" fillId="0" borderId="27" xfId="0" applyNumberFormat="1" applyFill="1" applyBorder="1" applyAlignment="1">
      <alignment horizontal="center" vertical="center"/>
    </xf>
    <xf numFmtId="0" fontId="13" fillId="0" borderId="0" xfId="0" applyFont="1" applyBorder="1" applyProtection="1">
      <protection locked="0"/>
    </xf>
    <xf numFmtId="0" fontId="16" fillId="0" borderId="0" xfId="0" applyFont="1" applyBorder="1" applyAlignment="1" applyProtection="1">
      <alignment horizontal="right"/>
      <protection locked="0"/>
    </xf>
    <xf numFmtId="0" fontId="16" fillId="0" borderId="0" xfId="0" applyFont="1" applyBorder="1" applyAlignment="1" applyProtection="1">
      <alignment horizontal="right"/>
      <protection hidden="1"/>
    </xf>
    <xf numFmtId="0" fontId="16" fillId="0" borderId="4" xfId="0" applyFont="1" applyBorder="1"/>
    <xf numFmtId="18" fontId="9" fillId="0" borderId="4" xfId="0" applyNumberFormat="1" applyFont="1" applyBorder="1" applyProtection="1">
      <protection locked="0"/>
    </xf>
    <xf numFmtId="165" fontId="8" fillId="0" borderId="4" xfId="0" applyNumberFormat="1" applyFont="1" applyBorder="1" applyProtection="1">
      <protection hidden="1"/>
    </xf>
    <xf numFmtId="0" fontId="16" fillId="0" borderId="0" xfId="0" applyFont="1" applyFill="1" applyBorder="1" applyAlignment="1" applyProtection="1">
      <alignment horizontal="right"/>
      <protection locked="0"/>
    </xf>
    <xf numFmtId="170" fontId="18" fillId="3" borderId="12" xfId="0" applyNumberFormat="1" applyFont="1" applyFill="1" applyBorder="1" applyAlignment="1">
      <alignment horizontal="center" vertical="center"/>
    </xf>
    <xf numFmtId="0" fontId="0" fillId="12" borderId="14" xfId="0" applyFill="1" applyBorder="1" applyAlignment="1">
      <alignment wrapText="1"/>
    </xf>
    <xf numFmtId="20" fontId="0" fillId="12" borderId="14" xfId="0" applyNumberFormat="1" applyFill="1" applyBorder="1" applyAlignment="1">
      <alignment horizontal="center" vertical="center"/>
    </xf>
    <xf numFmtId="164" fontId="0" fillId="12" borderId="14" xfId="0" applyNumberFormat="1" applyFill="1" applyBorder="1" applyAlignment="1">
      <alignment horizontal="center" vertical="center"/>
    </xf>
    <xf numFmtId="164" fontId="0" fillId="12" borderId="13" xfId="0" applyNumberFormat="1" applyFill="1" applyBorder="1" applyAlignment="1">
      <alignment horizontal="center" vertical="center"/>
    </xf>
    <xf numFmtId="20" fontId="0" fillId="12" borderId="14" xfId="0" applyNumberFormat="1" applyFill="1" applyBorder="1"/>
    <xf numFmtId="46" fontId="0" fillId="12" borderId="14" xfId="0" applyNumberFormat="1" applyFill="1" applyBorder="1" applyAlignment="1">
      <alignment horizontal="right"/>
    </xf>
    <xf numFmtId="46" fontId="0" fillId="12" borderId="14" xfId="0" applyNumberFormat="1" applyFill="1" applyBorder="1"/>
    <xf numFmtId="0" fontId="0" fillId="12" borderId="14" xfId="0" applyFill="1" applyBorder="1" applyAlignment="1">
      <alignment horizontal="center" vertical="center"/>
    </xf>
    <xf numFmtId="164" fontId="0" fillId="0" borderId="0" xfId="0" applyNumberFormat="1"/>
    <xf numFmtId="164" fontId="0" fillId="12" borderId="13" xfId="0" applyNumberFormat="1" applyFill="1" applyBorder="1" applyAlignment="1">
      <alignment vertical="center"/>
    </xf>
    <xf numFmtId="46" fontId="0" fillId="12" borderId="19" xfId="0" applyNumberFormat="1" applyFill="1" applyBorder="1"/>
    <xf numFmtId="0" fontId="0" fillId="12" borderId="4" xfId="0" applyFill="1" applyBorder="1"/>
    <xf numFmtId="164" fontId="0" fillId="12" borderId="14" xfId="0" applyNumberFormat="1" applyFill="1" applyBorder="1" applyAlignment="1">
      <alignment horizontal="right" vertical="center"/>
    </xf>
    <xf numFmtId="165" fontId="0" fillId="12" borderId="4" xfId="0" applyNumberFormat="1" applyFill="1" applyBorder="1"/>
    <xf numFmtId="166" fontId="0" fillId="12" borderId="17" xfId="0" applyNumberFormat="1" applyFill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166" fontId="0" fillId="0" borderId="30" xfId="0" applyNumberFormat="1" applyBorder="1"/>
    <xf numFmtId="164" fontId="0" fillId="9" borderId="14" xfId="0" applyNumberFormat="1" applyFill="1" applyBorder="1" applyAlignment="1">
      <alignment horizontal="center" vertical="center"/>
    </xf>
    <xf numFmtId="164" fontId="0" fillId="9" borderId="13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20" fontId="0" fillId="9" borderId="14" xfId="0" applyNumberFormat="1" applyFill="1" applyBorder="1"/>
    <xf numFmtId="46" fontId="0" fillId="9" borderId="14" xfId="0" applyNumberFormat="1" applyFill="1" applyBorder="1" applyAlignment="1">
      <alignment horizontal="right"/>
    </xf>
    <xf numFmtId="46" fontId="0" fillId="9" borderId="14" xfId="0" applyNumberFormat="1" applyFill="1" applyBorder="1"/>
    <xf numFmtId="170" fontId="0" fillId="12" borderId="12" xfId="0" applyNumberFormat="1" applyFill="1" applyBorder="1" applyAlignment="1">
      <alignment horizontal="center" vertical="center"/>
    </xf>
    <xf numFmtId="20" fontId="0" fillId="12" borderId="14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20" fontId="0" fillId="13" borderId="14" xfId="0" applyNumberFormat="1" applyFill="1" applyBorder="1" applyAlignment="1">
      <alignment horizontal="center" vertical="center"/>
    </xf>
    <xf numFmtId="20" fontId="0" fillId="13" borderId="14" xfId="0" applyNumberFormat="1" applyFill="1" applyBorder="1"/>
    <xf numFmtId="20" fontId="0" fillId="14" borderId="14" xfId="0" applyNumberFormat="1" applyFill="1" applyBorder="1" applyAlignment="1">
      <alignment horizontal="center" vertical="center"/>
    </xf>
    <xf numFmtId="164" fontId="0" fillId="14" borderId="14" xfId="0" applyNumberFormat="1" applyFill="1" applyBorder="1" applyAlignment="1">
      <alignment horizontal="center" vertical="center"/>
    </xf>
    <xf numFmtId="164" fontId="0" fillId="14" borderId="13" xfId="0" applyNumberForma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20" fontId="0" fillId="14" borderId="14" xfId="0" applyNumberFormat="1" applyFill="1" applyBorder="1"/>
    <xf numFmtId="46" fontId="0" fillId="14" borderId="14" xfId="0" applyNumberFormat="1" applyFill="1" applyBorder="1" applyAlignment="1">
      <alignment horizontal="right"/>
    </xf>
    <xf numFmtId="46" fontId="0" fillId="14" borderId="14" xfId="0" applyNumberFormat="1" applyFill="1" applyBorder="1"/>
    <xf numFmtId="46" fontId="0" fillId="0" borderId="4" xfId="0" applyNumberFormat="1" applyBorder="1"/>
    <xf numFmtId="20" fontId="0" fillId="0" borderId="4" xfId="0" applyNumberFormat="1" applyBorder="1"/>
    <xf numFmtId="0" fontId="1" fillId="2" borderId="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164" fontId="0" fillId="9" borderId="13" xfId="0" applyNumberFormat="1" applyFill="1" applyBorder="1" applyAlignment="1">
      <alignment vertical="center"/>
    </xf>
    <xf numFmtId="164" fontId="0" fillId="9" borderId="14" xfId="0" applyNumberFormat="1" applyFill="1" applyBorder="1" applyAlignment="1">
      <alignment horizontal="right" vertical="center"/>
    </xf>
    <xf numFmtId="0" fontId="0" fillId="9" borderId="4" xfId="0" applyFill="1" applyBorder="1"/>
    <xf numFmtId="165" fontId="0" fillId="9" borderId="4" xfId="0" applyNumberFormat="1" applyFill="1" applyBorder="1"/>
    <xf numFmtId="166" fontId="0" fillId="9" borderId="17" xfId="0" applyNumberFormat="1" applyFill="1" applyBorder="1" applyAlignment="1">
      <alignment horizontal="center"/>
    </xf>
    <xf numFmtId="20" fontId="0" fillId="9" borderId="13" xfId="0" applyNumberFormat="1" applyFill="1" applyBorder="1"/>
    <xf numFmtId="164" fontId="0" fillId="9" borderId="34" xfId="0" applyNumberFormat="1" applyFill="1" applyBorder="1" applyAlignment="1">
      <alignment horizontal="center" vertical="center"/>
    </xf>
    <xf numFmtId="164" fontId="0" fillId="9" borderId="34" xfId="0" applyNumberFormat="1" applyFill="1" applyBorder="1" applyAlignment="1">
      <alignment vertical="center"/>
    </xf>
    <xf numFmtId="20" fontId="0" fillId="9" borderId="34" xfId="0" applyNumberFormat="1" applyFill="1" applyBorder="1"/>
    <xf numFmtId="46" fontId="0" fillId="9" borderId="33" xfId="0" applyNumberFormat="1" applyFill="1" applyBorder="1"/>
    <xf numFmtId="0" fontId="0" fillId="9" borderId="13" xfId="0" applyFill="1" applyBorder="1" applyAlignment="1">
      <alignment wrapText="1"/>
    </xf>
    <xf numFmtId="46" fontId="0" fillId="9" borderId="18" xfId="0" applyNumberFormat="1" applyFill="1" applyBorder="1"/>
    <xf numFmtId="0" fontId="0" fillId="9" borderId="14" xfId="0" applyFill="1" applyBorder="1"/>
    <xf numFmtId="164" fontId="0" fillId="9" borderId="13" xfId="0" applyNumberFormat="1" applyFill="1" applyBorder="1"/>
    <xf numFmtId="164" fontId="0" fillId="9" borderId="14" xfId="0" applyNumberFormat="1" applyFill="1" applyBorder="1"/>
    <xf numFmtId="164" fontId="0" fillId="4" borderId="13" xfId="0" applyNumberFormat="1" applyFill="1" applyBorder="1" applyAlignment="1">
      <alignment horizontal="center" vertical="center"/>
    </xf>
    <xf numFmtId="164" fontId="0" fillId="4" borderId="13" xfId="0" applyNumberFormat="1" applyFill="1" applyBorder="1" applyAlignment="1">
      <alignment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3" xfId="0" applyNumberFormat="1" applyFill="1" applyBorder="1"/>
    <xf numFmtId="164" fontId="0" fillId="4" borderId="14" xfId="0" applyNumberFormat="1" applyFill="1" applyBorder="1"/>
  </cellXfs>
  <cellStyles count="2">
    <cellStyle name="Hipervínculo" xfId="1" builtinId="8"/>
    <cellStyle name="Normal" xfId="0" builtinId="0"/>
  </cellStyles>
  <dxfs count="12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BC79"/>
      <color rgb="FFFF99FF"/>
      <color rgb="FFFFCCCC"/>
      <color rgb="FF66FFFF"/>
      <color rgb="FFBEE395"/>
      <color rgb="FFF9AA87"/>
      <color rgb="FFBCE292"/>
      <color rgb="FFC0E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58B8-75CD-4806-BAD5-CD28EE905EAF}">
  <dimension ref="A2:V380"/>
  <sheetViews>
    <sheetView tabSelected="1" zoomScale="85" zoomScaleNormal="8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H16" sqref="H15:H16"/>
    </sheetView>
  </sheetViews>
  <sheetFormatPr baseColWidth="10" defaultRowHeight="15" x14ac:dyDescent="0.25"/>
  <cols>
    <col min="1" max="1" width="4.42578125" customWidth="1"/>
    <col min="2" max="2" width="13.7109375" style="8" customWidth="1"/>
    <col min="3" max="3" width="16.5703125" customWidth="1"/>
    <col min="4" max="4" width="12.85546875" bestFit="1" customWidth="1"/>
    <col min="5" max="5" width="13.28515625" customWidth="1"/>
    <col min="6" max="6" width="15" bestFit="1" customWidth="1"/>
    <col min="7" max="7" width="15.85546875" customWidth="1"/>
    <col min="8" max="8" width="13.7109375" customWidth="1"/>
    <col min="9" max="9" width="16.5703125" customWidth="1"/>
    <col min="10" max="10" width="19.140625" customWidth="1"/>
    <col min="11" max="11" width="15.85546875" customWidth="1"/>
    <col min="12" max="12" width="17.5703125" customWidth="1"/>
    <col min="13" max="13" width="21.42578125" customWidth="1"/>
    <col min="14" max="14" width="17.7109375" customWidth="1"/>
    <col min="15" max="15" width="18.42578125" customWidth="1"/>
    <col min="16" max="16" width="19.7109375" customWidth="1"/>
    <col min="19" max="19" width="22" bestFit="1" customWidth="1"/>
    <col min="20" max="20" width="10.7109375" bestFit="1" customWidth="1"/>
    <col min="21" max="21" width="18.140625" customWidth="1"/>
    <col min="22" max="22" width="14.85546875" bestFit="1" customWidth="1"/>
  </cols>
  <sheetData>
    <row r="2" spans="1:19" x14ac:dyDescent="0.25">
      <c r="O2" t="s">
        <v>6</v>
      </c>
      <c r="P2" s="86">
        <v>0.33055555555555555</v>
      </c>
      <c r="Q2" s="86">
        <v>0.33680555555555558</v>
      </c>
    </row>
    <row r="3" spans="1:19" ht="16.5" customHeight="1" x14ac:dyDescent="0.3">
      <c r="D3" s="9" t="s">
        <v>28</v>
      </c>
      <c r="E3" s="2"/>
      <c r="F3" s="2"/>
      <c r="G3" s="2"/>
      <c r="H3" s="3"/>
      <c r="I3" s="3"/>
      <c r="O3" t="s">
        <v>7</v>
      </c>
      <c r="P3" s="86">
        <v>0.33055555555555555</v>
      </c>
      <c r="Q3" s="86">
        <v>0.33680555555555558</v>
      </c>
    </row>
    <row r="4" spans="1:19" x14ac:dyDescent="0.25">
      <c r="C4" s="4"/>
      <c r="D4" s="4"/>
      <c r="E4" s="4"/>
      <c r="F4" s="4"/>
      <c r="G4" s="4"/>
      <c r="H4" s="3"/>
      <c r="I4" s="3"/>
      <c r="O4" t="s">
        <v>30</v>
      </c>
      <c r="P4" s="86">
        <v>0.33055555555555555</v>
      </c>
      <c r="Q4" s="86">
        <v>0.33680555555555558</v>
      </c>
    </row>
    <row r="5" spans="1:19" x14ac:dyDescent="0.25">
      <c r="C5" s="5"/>
      <c r="D5" s="6" t="s">
        <v>18</v>
      </c>
      <c r="E5" s="6" t="s">
        <v>19</v>
      </c>
      <c r="F5" s="4"/>
      <c r="G5" s="6" t="s">
        <v>20</v>
      </c>
      <c r="H5" s="3"/>
      <c r="I5" s="6" t="s">
        <v>24</v>
      </c>
      <c r="J5" s="6" t="s">
        <v>27</v>
      </c>
      <c r="L5" s="6" t="s">
        <v>59</v>
      </c>
      <c r="M5" s="6" t="s">
        <v>29</v>
      </c>
      <c r="O5" t="s">
        <v>8</v>
      </c>
      <c r="P5" s="86">
        <v>0.33055555555555555</v>
      </c>
      <c r="Q5" s="86">
        <v>0.33680555555555558</v>
      </c>
    </row>
    <row r="6" spans="1:19" x14ac:dyDescent="0.25">
      <c r="B6" s="196" t="s">
        <v>17</v>
      </c>
      <c r="C6" s="197"/>
      <c r="D6" s="7">
        <v>0.31875000000000003</v>
      </c>
      <c r="E6" s="7">
        <v>0.29166666666666669</v>
      </c>
      <c r="F6" s="4"/>
      <c r="G6" s="7">
        <v>0.20833333333333334</v>
      </c>
      <c r="H6" s="3"/>
      <c r="I6" s="7">
        <v>1.3888888888888888E-2</v>
      </c>
      <c r="J6" s="7">
        <v>4.1666666666666664E-2</v>
      </c>
      <c r="L6" s="87">
        <v>1.59375</v>
      </c>
      <c r="M6" s="87">
        <v>1.4583333333333333</v>
      </c>
      <c r="O6" t="s">
        <v>9</v>
      </c>
      <c r="P6" s="86">
        <v>0.27152777777777776</v>
      </c>
      <c r="Q6" s="86">
        <v>0.25</v>
      </c>
    </row>
    <row r="7" spans="1:19" x14ac:dyDescent="0.25">
      <c r="P7" s="87">
        <f>SUM(P2:P6)</f>
        <v>1.59375</v>
      </c>
      <c r="Q7" s="87">
        <f>SUM(Q2:Q6)</f>
        <v>1.5972222222222223</v>
      </c>
    </row>
    <row r="10" spans="1:19" ht="15.75" thickBot="1" x14ac:dyDescent="0.3"/>
    <row r="11" spans="1:19" ht="19.5" customHeight="1" thickBot="1" x14ac:dyDescent="0.35">
      <c r="B11" s="40"/>
      <c r="C11" s="41"/>
      <c r="D11" s="198" t="s">
        <v>25</v>
      </c>
      <c r="E11" s="199"/>
      <c r="F11" s="199"/>
      <c r="G11" s="199"/>
      <c r="H11" s="200"/>
      <c r="I11" s="201" t="s">
        <v>26</v>
      </c>
      <c r="J11" s="202"/>
      <c r="K11" s="203"/>
      <c r="L11" s="10"/>
      <c r="M11" s="10"/>
      <c r="N11" s="10"/>
      <c r="O11" s="10"/>
      <c r="P11" s="11"/>
      <c r="Q11" s="11"/>
      <c r="R11" s="11"/>
    </row>
    <row r="12" spans="1:19" ht="30" customHeight="1" thickBot="1" x14ac:dyDescent="0.3">
      <c r="B12" s="194"/>
      <c r="C12" s="195"/>
      <c r="D12" s="37" t="s">
        <v>0</v>
      </c>
      <c r="E12" s="37" t="s">
        <v>3</v>
      </c>
      <c r="F12" s="37" t="s">
        <v>4</v>
      </c>
      <c r="G12" s="37" t="s">
        <v>5</v>
      </c>
      <c r="H12" s="37" t="s">
        <v>10</v>
      </c>
      <c r="I12" s="37" t="s">
        <v>13</v>
      </c>
      <c r="J12" s="37" t="s">
        <v>14</v>
      </c>
      <c r="K12" s="37" t="s">
        <v>15</v>
      </c>
      <c r="L12" s="37" t="s">
        <v>1</v>
      </c>
      <c r="M12" s="37" t="s">
        <v>2</v>
      </c>
      <c r="N12" s="37" t="s">
        <v>12</v>
      </c>
      <c r="O12" s="37" t="s">
        <v>11</v>
      </c>
      <c r="P12" s="38" t="s">
        <v>16</v>
      </c>
      <c r="Q12" s="69" t="s">
        <v>31</v>
      </c>
      <c r="R12" s="69" t="s">
        <v>32</v>
      </c>
      <c r="S12" s="193" t="s">
        <v>73</v>
      </c>
    </row>
    <row r="13" spans="1:19" s="1" customFormat="1" x14ac:dyDescent="0.25">
      <c r="B13" s="139">
        <v>43830</v>
      </c>
      <c r="C13" s="214" t="s">
        <v>8</v>
      </c>
      <c r="D13" s="210">
        <v>0.30833333333333335</v>
      </c>
      <c r="E13" s="211">
        <v>0.41666666666666669</v>
      </c>
      <c r="F13" s="211">
        <v>0.43402777777777773</v>
      </c>
      <c r="G13" s="210">
        <f>F13-E13</f>
        <v>1.7361111111111049E-2</v>
      </c>
      <c r="H13" s="13">
        <f>IF(G13&gt;$I$6,G13-$I$6)</f>
        <v>3.4722222222221613E-3</v>
      </c>
      <c r="I13" s="211"/>
      <c r="J13" s="211"/>
      <c r="K13" s="210">
        <f t="shared" ref="K13:K76" si="0">J13-I13</f>
        <v>0</v>
      </c>
      <c r="L13" s="212">
        <v>0.64583333333333337</v>
      </c>
      <c r="M13" s="210">
        <f>(L13-D13)-H13-K13</f>
        <v>0.33402777777777787</v>
      </c>
      <c r="N13" s="210">
        <f>M13-$D$6</f>
        <v>1.5277777777777835E-2</v>
      </c>
      <c r="O13" s="210">
        <f>N13</f>
        <v>1.5277777777777835E-2</v>
      </c>
      <c r="P13" s="213">
        <f>N13</f>
        <v>1.5277777777777835E-2</v>
      </c>
      <c r="Q13" s="87">
        <f>M13</f>
        <v>0.33402777777777787</v>
      </c>
      <c r="R13" s="206"/>
    </row>
    <row r="14" spans="1:19" s="1" customFormat="1" ht="15.75" thickBot="1" x14ac:dyDescent="0.3">
      <c r="B14" s="139">
        <v>43831</v>
      </c>
      <c r="C14" s="214" t="s">
        <v>9</v>
      </c>
      <c r="D14" s="170">
        <v>0.3125</v>
      </c>
      <c r="E14" s="204">
        <v>0.41666666666666669</v>
      </c>
      <c r="F14" s="204">
        <v>0.42986111111111108</v>
      </c>
      <c r="G14" s="170">
        <f>F14-E14</f>
        <v>1.3194444444444398E-2</v>
      </c>
      <c r="H14" s="13" t="b">
        <f t="shared" ref="H14:H28" si="1">IF(G14&gt;$I$6,G14-$I$6)</f>
        <v>0</v>
      </c>
      <c r="I14" s="204"/>
      <c r="J14" s="204"/>
      <c r="K14" s="170">
        <f t="shared" si="0"/>
        <v>0</v>
      </c>
      <c r="L14" s="209"/>
      <c r="M14" s="170">
        <f t="shared" ref="M13:M76" si="2">(L14-D14)-H14-K14</f>
        <v>-0.3125</v>
      </c>
      <c r="N14" s="170">
        <f>M14-$D$6</f>
        <v>-0.63125000000000009</v>
      </c>
      <c r="O14" s="170">
        <f>O13+N14</f>
        <v>-0.61597222222222225</v>
      </c>
      <c r="P14" s="215">
        <f>P13+N14</f>
        <v>-0.61597222222222225</v>
      </c>
      <c r="Q14" s="87">
        <f>Q13+M14</f>
        <v>2.1527777777777868E-2</v>
      </c>
      <c r="R14" s="206"/>
    </row>
    <row r="15" spans="1:19" s="1" customFormat="1" x14ac:dyDescent="0.25">
      <c r="B15" s="139">
        <v>43832</v>
      </c>
      <c r="C15" s="42" t="s">
        <v>21</v>
      </c>
      <c r="D15" s="219"/>
      <c r="E15" s="220"/>
      <c r="F15" s="220"/>
      <c r="G15" s="34"/>
      <c r="H15" s="34"/>
      <c r="I15" s="220"/>
      <c r="J15" s="221"/>
      <c r="K15" s="34"/>
      <c r="L15" s="27"/>
      <c r="M15" s="34">
        <f t="shared" si="2"/>
        <v>0</v>
      </c>
      <c r="N15" s="34"/>
      <c r="O15" s="34"/>
      <c r="P15" s="213"/>
      <c r="Q15" s="87">
        <f>Q14+M15</f>
        <v>2.1527777777777868E-2</v>
      </c>
      <c r="R15" s="207">
        <f t="shared" ref="R15:R57" si="3">Q15/5</f>
        <v>4.3055555555555737E-3</v>
      </c>
    </row>
    <row r="16" spans="1:19" ht="15.75" thickBot="1" x14ac:dyDescent="0.3">
      <c r="A16" s="1"/>
      <c r="B16" s="139">
        <v>43833</v>
      </c>
      <c r="C16" s="42" t="s">
        <v>22</v>
      </c>
      <c r="D16" s="28"/>
      <c r="E16" s="28"/>
      <c r="F16" s="28"/>
      <c r="G16" s="34"/>
      <c r="H16" s="34"/>
      <c r="I16" s="28"/>
      <c r="J16" s="28"/>
      <c r="K16" s="34"/>
      <c r="L16" s="29"/>
      <c r="M16" s="34">
        <f t="shared" si="2"/>
        <v>0</v>
      </c>
      <c r="N16" s="34"/>
      <c r="O16" s="34"/>
      <c r="P16" s="215"/>
      <c r="Q16" s="71"/>
      <c r="R16" s="206"/>
    </row>
    <row r="17" spans="1:19" ht="15.75" thickBot="1" x14ac:dyDescent="0.3">
      <c r="A17" s="1"/>
      <c r="B17" s="139">
        <v>43834</v>
      </c>
      <c r="C17" s="214" t="s">
        <v>6</v>
      </c>
      <c r="D17" s="171"/>
      <c r="E17" s="171"/>
      <c r="F17" s="171"/>
      <c r="G17" s="169">
        <f t="shared" ref="G17:G26" si="4">F17-E17</f>
        <v>0</v>
      </c>
      <c r="H17" s="13" t="b">
        <f t="shared" si="1"/>
        <v>0</v>
      </c>
      <c r="I17" s="171"/>
      <c r="J17" s="171"/>
      <c r="K17" s="169">
        <f t="shared" si="0"/>
        <v>0</v>
      </c>
      <c r="L17" s="216"/>
      <c r="M17" s="169">
        <f t="shared" si="2"/>
        <v>0</v>
      </c>
      <c r="N17" s="169">
        <f>M17-$D$6</f>
        <v>-0.31875000000000003</v>
      </c>
      <c r="O17" s="169">
        <f>N17</f>
        <v>-0.31875000000000003</v>
      </c>
      <c r="P17" s="213">
        <f>P14+N17</f>
        <v>-0.93472222222222223</v>
      </c>
      <c r="Q17" s="71"/>
      <c r="R17" s="206"/>
    </row>
    <row r="18" spans="1:19" s="1" customFormat="1" ht="15.75" thickBot="1" x14ac:dyDescent="0.3">
      <c r="B18" s="139">
        <v>43835</v>
      </c>
      <c r="C18" s="214" t="s">
        <v>7</v>
      </c>
      <c r="D18" s="170"/>
      <c r="E18" s="204"/>
      <c r="F18" s="204"/>
      <c r="G18" s="169">
        <f t="shared" si="4"/>
        <v>0</v>
      </c>
      <c r="H18" s="13" t="b">
        <f t="shared" si="1"/>
        <v>0</v>
      </c>
      <c r="I18" s="204"/>
      <c r="J18" s="205"/>
      <c r="K18" s="169">
        <f t="shared" si="0"/>
        <v>0</v>
      </c>
      <c r="L18" s="172"/>
      <c r="M18" s="169">
        <f t="shared" si="2"/>
        <v>0</v>
      </c>
      <c r="N18" s="169">
        <f>M18-$D$6</f>
        <v>-0.31875000000000003</v>
      </c>
      <c r="O18" s="169">
        <f>O17+N18</f>
        <v>-0.63750000000000007</v>
      </c>
      <c r="P18" s="213">
        <f>P17+N18</f>
        <v>-1.2534722222222223</v>
      </c>
      <c r="Q18" s="208">
        <f>M18</f>
        <v>0</v>
      </c>
      <c r="R18" s="206"/>
    </row>
    <row r="19" spans="1:19" ht="15.75" thickBot="1" x14ac:dyDescent="0.3">
      <c r="A19" s="1"/>
      <c r="B19" s="139">
        <v>43836</v>
      </c>
      <c r="C19" s="214" t="s">
        <v>23</v>
      </c>
      <c r="D19" s="170"/>
      <c r="E19" s="204"/>
      <c r="F19" s="204"/>
      <c r="G19" s="169">
        <f t="shared" si="4"/>
        <v>0</v>
      </c>
      <c r="H19" s="13" t="b">
        <f t="shared" si="1"/>
        <v>0</v>
      </c>
      <c r="I19" s="204"/>
      <c r="J19" s="204"/>
      <c r="K19" s="169">
        <f t="shared" si="0"/>
        <v>0</v>
      </c>
      <c r="L19" s="172"/>
      <c r="M19" s="169">
        <f t="shared" si="2"/>
        <v>0</v>
      </c>
      <c r="N19" s="169">
        <f>M19-$D$6</f>
        <v>-0.31875000000000003</v>
      </c>
      <c r="O19" s="169">
        <f>O18+N19</f>
        <v>-0.95625000000000004</v>
      </c>
      <c r="P19" s="213">
        <f>P18+N19</f>
        <v>-1.5722222222222224</v>
      </c>
      <c r="Q19" s="208">
        <f>M18+M19</f>
        <v>0</v>
      </c>
      <c r="R19" s="206"/>
      <c r="S19" s="1"/>
    </row>
    <row r="20" spans="1:19" ht="15.75" thickBot="1" x14ac:dyDescent="0.3">
      <c r="A20" s="1"/>
      <c r="B20" s="139">
        <v>43837</v>
      </c>
      <c r="C20" s="214" t="s">
        <v>8</v>
      </c>
      <c r="D20" s="170"/>
      <c r="E20" s="204"/>
      <c r="F20" s="204"/>
      <c r="G20" s="169">
        <f t="shared" si="4"/>
        <v>0</v>
      </c>
      <c r="H20" s="13" t="b">
        <f t="shared" si="1"/>
        <v>0</v>
      </c>
      <c r="I20" s="204"/>
      <c r="J20" s="204"/>
      <c r="K20" s="169">
        <f t="shared" si="0"/>
        <v>0</v>
      </c>
      <c r="L20" s="217"/>
      <c r="M20" s="169">
        <f t="shared" si="2"/>
        <v>0</v>
      </c>
      <c r="N20" s="169">
        <f>M20-$D$6</f>
        <v>-0.31875000000000003</v>
      </c>
      <c r="O20" s="169">
        <f>O19+N20</f>
        <v>-1.2750000000000001</v>
      </c>
      <c r="P20" s="213">
        <f t="shared" ref="P20:P21" si="5">P19+N20</f>
        <v>-1.8909722222222225</v>
      </c>
      <c r="Q20" s="208">
        <f>Q19+M20</f>
        <v>0</v>
      </c>
      <c r="R20" s="71"/>
    </row>
    <row r="21" spans="1:19" ht="15.75" thickBot="1" x14ac:dyDescent="0.3">
      <c r="A21" s="1"/>
      <c r="B21" s="139">
        <v>43838</v>
      </c>
      <c r="C21" s="214" t="s">
        <v>9</v>
      </c>
      <c r="D21" s="170"/>
      <c r="E21" s="204"/>
      <c r="F21" s="204"/>
      <c r="G21" s="169">
        <f t="shared" si="4"/>
        <v>0</v>
      </c>
      <c r="H21" s="13" t="b">
        <f t="shared" si="1"/>
        <v>0</v>
      </c>
      <c r="I21" s="204"/>
      <c r="J21" s="205"/>
      <c r="K21" s="169">
        <f t="shared" si="0"/>
        <v>0</v>
      </c>
      <c r="L21" s="217"/>
      <c r="M21" s="169">
        <f t="shared" si="2"/>
        <v>0</v>
      </c>
      <c r="N21" s="169">
        <f>M21-$D$6</f>
        <v>-0.31875000000000003</v>
      </c>
      <c r="O21" s="169">
        <f>O20+N21</f>
        <v>-1.5937500000000002</v>
      </c>
      <c r="P21" s="213">
        <f>P20+N21</f>
        <v>-2.2097222222222226</v>
      </c>
      <c r="Q21" s="208">
        <f>Q20+M21</f>
        <v>0</v>
      </c>
      <c r="R21" s="71"/>
    </row>
    <row r="22" spans="1:19" x14ac:dyDescent="0.25">
      <c r="A22" s="1"/>
      <c r="B22" s="139">
        <v>43839</v>
      </c>
      <c r="C22" s="42" t="s">
        <v>21</v>
      </c>
      <c r="D22" s="219"/>
      <c r="E22" s="220"/>
      <c r="F22" s="220"/>
      <c r="G22" s="34"/>
      <c r="H22" s="34"/>
      <c r="I22" s="220"/>
      <c r="J22" s="220"/>
      <c r="K22" s="34"/>
      <c r="L22" s="222"/>
      <c r="M22" s="34">
        <f t="shared" si="2"/>
        <v>0</v>
      </c>
      <c r="N22" s="34"/>
      <c r="O22" s="34"/>
      <c r="P22" s="213"/>
      <c r="Q22" s="208">
        <f>Q21+M22</f>
        <v>0</v>
      </c>
      <c r="R22" s="72">
        <f>Q22/5</f>
        <v>0</v>
      </c>
    </row>
    <row r="23" spans="1:19" ht="15.75" thickBot="1" x14ac:dyDescent="0.3">
      <c r="A23" s="1"/>
      <c r="B23" s="139">
        <v>43840</v>
      </c>
      <c r="C23" s="42" t="s">
        <v>22</v>
      </c>
      <c r="D23" s="28"/>
      <c r="E23" s="28"/>
      <c r="F23" s="28"/>
      <c r="G23" s="34"/>
      <c r="H23" s="34"/>
      <c r="I23" s="28"/>
      <c r="J23" s="28"/>
      <c r="K23" s="34"/>
      <c r="L23" s="29"/>
      <c r="M23" s="34">
        <f t="shared" si="2"/>
        <v>0</v>
      </c>
      <c r="N23" s="34"/>
      <c r="O23" s="34"/>
      <c r="P23" s="215"/>
      <c r="Q23" s="71"/>
      <c r="R23" s="71"/>
    </row>
    <row r="24" spans="1:19" ht="15.75" thickBot="1" x14ac:dyDescent="0.3">
      <c r="A24" s="1"/>
      <c r="B24" s="139">
        <v>43841</v>
      </c>
      <c r="C24" s="214" t="s">
        <v>6</v>
      </c>
      <c r="D24" s="171"/>
      <c r="E24" s="171"/>
      <c r="F24" s="171"/>
      <c r="G24" s="169">
        <f t="shared" si="4"/>
        <v>0</v>
      </c>
      <c r="H24" s="13" t="b">
        <f t="shared" si="1"/>
        <v>0</v>
      </c>
      <c r="I24" s="171"/>
      <c r="J24" s="171"/>
      <c r="K24" s="169">
        <f t="shared" si="0"/>
        <v>0</v>
      </c>
      <c r="L24" s="216"/>
      <c r="M24" s="169">
        <f t="shared" si="2"/>
        <v>0</v>
      </c>
      <c r="N24" s="169">
        <f t="shared" ref="N24:N84" si="6">M24-$D$6</f>
        <v>-0.31875000000000003</v>
      </c>
      <c r="O24" s="169">
        <f>N24</f>
        <v>-0.31875000000000003</v>
      </c>
      <c r="P24" s="213">
        <f t="shared" ref="P24" si="7">P21+N24</f>
        <v>-2.5284722222222227</v>
      </c>
      <c r="Q24" s="71"/>
      <c r="R24" s="71"/>
    </row>
    <row r="25" spans="1:19" ht="15.75" thickBot="1" x14ac:dyDescent="0.3">
      <c r="A25" s="1"/>
      <c r="B25" s="139">
        <v>43842</v>
      </c>
      <c r="C25" s="214" t="s">
        <v>7</v>
      </c>
      <c r="D25" s="170"/>
      <c r="E25" s="204"/>
      <c r="F25" s="204"/>
      <c r="G25" s="169">
        <f t="shared" si="4"/>
        <v>0</v>
      </c>
      <c r="H25" s="13" t="b">
        <f t="shared" si="1"/>
        <v>0</v>
      </c>
      <c r="I25" s="204"/>
      <c r="J25" s="204"/>
      <c r="K25" s="169">
        <f t="shared" si="0"/>
        <v>0</v>
      </c>
      <c r="L25" s="217"/>
      <c r="M25" s="169">
        <f t="shared" si="2"/>
        <v>0</v>
      </c>
      <c r="N25" s="169">
        <f t="shared" si="6"/>
        <v>-0.31875000000000003</v>
      </c>
      <c r="O25" s="169">
        <f>O24+N25</f>
        <v>-0.63750000000000007</v>
      </c>
      <c r="P25" s="213">
        <f t="shared" ref="P25:P43" si="8">P24+N25</f>
        <v>-2.8472222222222228</v>
      </c>
      <c r="Q25" s="87">
        <f>M25</f>
        <v>0</v>
      </c>
      <c r="R25" s="71"/>
    </row>
    <row r="26" spans="1:19" ht="15.75" thickBot="1" x14ac:dyDescent="0.3">
      <c r="A26" s="1"/>
      <c r="B26" s="139">
        <v>43843</v>
      </c>
      <c r="C26" s="214" t="s">
        <v>23</v>
      </c>
      <c r="D26" s="170"/>
      <c r="E26" s="204"/>
      <c r="F26" s="204"/>
      <c r="G26" s="169">
        <f t="shared" si="4"/>
        <v>0</v>
      </c>
      <c r="H26" s="13" t="b">
        <f t="shared" si="1"/>
        <v>0</v>
      </c>
      <c r="I26" s="204"/>
      <c r="J26" s="204"/>
      <c r="K26" s="169">
        <f t="shared" si="0"/>
        <v>0</v>
      </c>
      <c r="L26" s="217"/>
      <c r="M26" s="169">
        <f t="shared" si="2"/>
        <v>0</v>
      </c>
      <c r="N26" s="169">
        <f t="shared" si="6"/>
        <v>-0.31875000000000003</v>
      </c>
      <c r="O26" s="169">
        <f>O25+N26</f>
        <v>-0.95625000000000004</v>
      </c>
      <c r="P26" s="213">
        <f t="shared" si="8"/>
        <v>-3.1659722222222229</v>
      </c>
      <c r="Q26" s="87">
        <f>M25+M26</f>
        <v>0</v>
      </c>
      <c r="R26" s="71"/>
    </row>
    <row r="27" spans="1:19" ht="15.75" thickBot="1" x14ac:dyDescent="0.3">
      <c r="A27" s="1"/>
      <c r="B27" s="139">
        <v>43844</v>
      </c>
      <c r="C27" s="214" t="s">
        <v>8</v>
      </c>
      <c r="D27" s="169"/>
      <c r="E27" s="169"/>
      <c r="F27" s="169"/>
      <c r="G27" s="169">
        <f>F27-E27</f>
        <v>0</v>
      </c>
      <c r="H27" s="13" t="b">
        <f t="shared" si="1"/>
        <v>0</v>
      </c>
      <c r="I27" s="169"/>
      <c r="J27" s="169"/>
      <c r="K27" s="169">
        <f t="shared" si="0"/>
        <v>0</v>
      </c>
      <c r="L27" s="218"/>
      <c r="M27" s="169">
        <f t="shared" si="2"/>
        <v>0</v>
      </c>
      <c r="N27" s="169">
        <f t="shared" si="6"/>
        <v>-0.31875000000000003</v>
      </c>
      <c r="O27" s="169">
        <f>O26+N27</f>
        <v>-1.2750000000000001</v>
      </c>
      <c r="P27" s="213">
        <f t="shared" si="8"/>
        <v>-3.4847222222222229</v>
      </c>
      <c r="Q27" s="87">
        <f>Q26+M27</f>
        <v>0</v>
      </c>
      <c r="R27" s="71"/>
    </row>
    <row r="28" spans="1:19" ht="15.75" thickBot="1" x14ac:dyDescent="0.3">
      <c r="A28" s="1"/>
      <c r="B28" s="139">
        <v>43845</v>
      </c>
      <c r="C28" s="214" t="s">
        <v>9</v>
      </c>
      <c r="D28" s="169"/>
      <c r="E28" s="169"/>
      <c r="F28" s="169"/>
      <c r="G28" s="169">
        <f>F28-E28</f>
        <v>0</v>
      </c>
      <c r="H28" s="13" t="b">
        <f t="shared" si="1"/>
        <v>0</v>
      </c>
      <c r="I28" s="169"/>
      <c r="J28" s="169"/>
      <c r="K28" s="169">
        <f t="shared" si="0"/>
        <v>0</v>
      </c>
      <c r="L28" s="218"/>
      <c r="M28" s="169">
        <f t="shared" si="2"/>
        <v>0</v>
      </c>
      <c r="N28" s="169">
        <f t="shared" si="6"/>
        <v>-0.31875000000000003</v>
      </c>
      <c r="O28" s="169">
        <f>O27+N28</f>
        <v>-1.5937500000000002</v>
      </c>
      <c r="P28" s="213">
        <f t="shared" si="8"/>
        <v>-3.803472222222223</v>
      </c>
      <c r="Q28" s="87">
        <f>Q27+M28</f>
        <v>0</v>
      </c>
      <c r="R28" s="71"/>
    </row>
    <row r="29" spans="1:19" x14ac:dyDescent="0.25">
      <c r="A29" s="1"/>
      <c r="B29" s="139">
        <v>43846</v>
      </c>
      <c r="C29" s="42" t="s">
        <v>21</v>
      </c>
      <c r="D29" s="34"/>
      <c r="E29" s="34"/>
      <c r="F29" s="34"/>
      <c r="G29" s="34"/>
      <c r="H29" s="34"/>
      <c r="I29" s="34"/>
      <c r="J29" s="34"/>
      <c r="K29" s="34"/>
      <c r="L29" s="223"/>
      <c r="M29" s="34">
        <f t="shared" si="2"/>
        <v>0</v>
      </c>
      <c r="N29" s="34"/>
      <c r="O29" s="34"/>
      <c r="P29" s="213"/>
      <c r="Q29" s="87"/>
      <c r="R29" s="72">
        <f>Q29/5</f>
        <v>0</v>
      </c>
    </row>
    <row r="30" spans="1:19" ht="15.75" thickBot="1" x14ac:dyDescent="0.3">
      <c r="A30" s="1"/>
      <c r="B30" s="139">
        <v>43847</v>
      </c>
      <c r="C30" s="42" t="s">
        <v>22</v>
      </c>
      <c r="D30" s="28"/>
      <c r="E30" s="28"/>
      <c r="F30" s="28"/>
      <c r="G30" s="34"/>
      <c r="H30" s="34"/>
      <c r="I30" s="28"/>
      <c r="J30" s="28"/>
      <c r="K30" s="34"/>
      <c r="L30" s="29"/>
      <c r="M30" s="34">
        <f t="shared" si="2"/>
        <v>0</v>
      </c>
      <c r="N30" s="34"/>
      <c r="O30" s="34"/>
      <c r="P30" s="215"/>
      <c r="Q30" s="71"/>
      <c r="R30" s="71"/>
    </row>
    <row r="31" spans="1:19" ht="15.75" thickBot="1" x14ac:dyDescent="0.3">
      <c r="A31" s="1"/>
      <c r="B31" s="139">
        <v>43848</v>
      </c>
      <c r="C31" s="214" t="s">
        <v>6</v>
      </c>
      <c r="D31" s="171"/>
      <c r="E31" s="171"/>
      <c r="F31" s="171"/>
      <c r="G31" s="169"/>
      <c r="H31" s="169" t="b">
        <f t="shared" ref="H19:H82" si="9">IF(G31&gt;$I$6,G31-$I$6)</f>
        <v>0</v>
      </c>
      <c r="I31" s="171"/>
      <c r="J31" s="171"/>
      <c r="K31" s="169">
        <f t="shared" si="0"/>
        <v>0</v>
      </c>
      <c r="L31" s="216"/>
      <c r="M31" s="169">
        <f t="shared" si="2"/>
        <v>0</v>
      </c>
      <c r="N31" s="169">
        <f t="shared" si="6"/>
        <v>-0.31875000000000003</v>
      </c>
      <c r="O31" s="169">
        <f>N31</f>
        <v>-0.31875000000000003</v>
      </c>
      <c r="P31" s="213">
        <f t="shared" ref="P31" si="10">P28+N31</f>
        <v>-4.1222222222222227</v>
      </c>
      <c r="Q31" s="71"/>
      <c r="R31" s="71"/>
    </row>
    <row r="32" spans="1:19" ht="15.75" thickBot="1" x14ac:dyDescent="0.3">
      <c r="A32" s="1"/>
      <c r="B32" s="139">
        <v>43849</v>
      </c>
      <c r="C32" s="214" t="s">
        <v>7</v>
      </c>
      <c r="D32" s="137"/>
      <c r="E32" s="137"/>
      <c r="F32" s="137"/>
      <c r="G32" s="169">
        <f t="shared" ref="G32:G42" si="11">F32-E32</f>
        <v>0</v>
      </c>
      <c r="H32" s="169" t="b">
        <f t="shared" si="9"/>
        <v>0</v>
      </c>
      <c r="I32" s="137"/>
      <c r="J32" s="137"/>
      <c r="K32" s="169">
        <f t="shared" si="0"/>
        <v>0</v>
      </c>
      <c r="L32" s="172"/>
      <c r="M32" s="169">
        <f t="shared" si="2"/>
        <v>0</v>
      </c>
      <c r="N32" s="169">
        <f t="shared" si="6"/>
        <v>-0.31875000000000003</v>
      </c>
      <c r="O32" s="169">
        <f>O31+N32</f>
        <v>-0.63750000000000007</v>
      </c>
      <c r="P32" s="213">
        <f t="shared" ref="P32:P43" si="12">P31+N32</f>
        <v>-4.4409722222222223</v>
      </c>
      <c r="Q32" s="87">
        <f>M32</f>
        <v>0</v>
      </c>
      <c r="R32" s="71"/>
    </row>
    <row r="33" spans="1:21" ht="15.75" thickBot="1" x14ac:dyDescent="0.3">
      <c r="A33" s="1"/>
      <c r="B33" s="139">
        <v>43850</v>
      </c>
      <c r="C33" s="214" t="s">
        <v>23</v>
      </c>
      <c r="D33" s="137"/>
      <c r="E33" s="137"/>
      <c r="F33" s="137"/>
      <c r="G33" s="169">
        <f t="shared" si="11"/>
        <v>0</v>
      </c>
      <c r="H33" s="169" t="b">
        <f t="shared" ref="H33:H35" si="13">IF(G33&gt;$I$6,G33)</f>
        <v>0</v>
      </c>
      <c r="I33" s="137"/>
      <c r="J33" s="137"/>
      <c r="K33" s="169">
        <f t="shared" si="0"/>
        <v>0</v>
      </c>
      <c r="L33" s="172"/>
      <c r="M33" s="169">
        <f t="shared" si="2"/>
        <v>0</v>
      </c>
      <c r="N33" s="169">
        <f t="shared" si="6"/>
        <v>-0.31875000000000003</v>
      </c>
      <c r="O33" s="169">
        <f>O32+N33</f>
        <v>-0.95625000000000004</v>
      </c>
      <c r="P33" s="213">
        <f t="shared" si="12"/>
        <v>-4.759722222222222</v>
      </c>
      <c r="Q33" s="87">
        <f>M32+M33</f>
        <v>0</v>
      </c>
      <c r="R33" s="71"/>
    </row>
    <row r="34" spans="1:21" ht="15.75" thickBot="1" x14ac:dyDescent="0.3">
      <c r="A34" s="1"/>
      <c r="B34" s="139">
        <v>43851</v>
      </c>
      <c r="C34" s="214" t="s">
        <v>8</v>
      </c>
      <c r="D34" s="137"/>
      <c r="E34" s="137"/>
      <c r="F34" s="137"/>
      <c r="G34" s="169">
        <f t="shared" si="11"/>
        <v>0</v>
      </c>
      <c r="H34" s="169" t="b">
        <f t="shared" si="13"/>
        <v>0</v>
      </c>
      <c r="I34" s="137"/>
      <c r="J34" s="137"/>
      <c r="K34" s="169">
        <f t="shared" si="0"/>
        <v>0</v>
      </c>
      <c r="L34" s="172"/>
      <c r="M34" s="169">
        <f t="shared" si="2"/>
        <v>0</v>
      </c>
      <c r="N34" s="169">
        <f t="shared" si="6"/>
        <v>-0.31875000000000003</v>
      </c>
      <c r="O34" s="169">
        <f>O33+N34</f>
        <v>-1.2750000000000001</v>
      </c>
      <c r="P34" s="213">
        <f t="shared" si="8"/>
        <v>-5.0784722222222216</v>
      </c>
      <c r="Q34" s="87">
        <f>Q33+M34</f>
        <v>0</v>
      </c>
      <c r="R34" s="71"/>
    </row>
    <row r="35" spans="1:21" ht="15.75" thickBot="1" x14ac:dyDescent="0.3">
      <c r="A35" s="1"/>
      <c r="B35" s="139">
        <v>43852</v>
      </c>
      <c r="C35" s="214" t="s">
        <v>9</v>
      </c>
      <c r="D35" s="137"/>
      <c r="E35" s="137"/>
      <c r="F35" s="137"/>
      <c r="G35" s="169">
        <f t="shared" si="11"/>
        <v>0</v>
      </c>
      <c r="H35" s="169" t="b">
        <f t="shared" si="13"/>
        <v>0</v>
      </c>
      <c r="I35" s="137"/>
      <c r="J35" s="137"/>
      <c r="K35" s="169">
        <f t="shared" si="0"/>
        <v>0</v>
      </c>
      <c r="L35" s="172"/>
      <c r="M35" s="169">
        <f t="shared" si="2"/>
        <v>0</v>
      </c>
      <c r="N35" s="169">
        <f t="shared" si="6"/>
        <v>-0.31875000000000003</v>
      </c>
      <c r="O35" s="169">
        <f>O34+N35</f>
        <v>-1.5937500000000002</v>
      </c>
      <c r="P35" s="213">
        <f t="shared" si="8"/>
        <v>-5.3972222222222213</v>
      </c>
      <c r="Q35" s="87">
        <f>Q34+M35</f>
        <v>0</v>
      </c>
      <c r="R35" s="71"/>
    </row>
    <row r="36" spans="1:21" x14ac:dyDescent="0.25">
      <c r="A36" s="1"/>
      <c r="B36" s="139">
        <v>43853</v>
      </c>
      <c r="C36" s="42" t="s">
        <v>21</v>
      </c>
      <c r="D36" s="43"/>
      <c r="E36" s="43"/>
      <c r="F36" s="43"/>
      <c r="G36" s="34"/>
      <c r="H36" s="34"/>
      <c r="I36" s="43"/>
      <c r="J36" s="28"/>
      <c r="K36" s="34"/>
      <c r="L36" s="27"/>
      <c r="M36" s="34">
        <f t="shared" si="2"/>
        <v>0</v>
      </c>
      <c r="N36" s="34"/>
      <c r="O36" s="34"/>
      <c r="P36" s="213"/>
      <c r="Q36" s="87"/>
      <c r="R36" s="72">
        <f t="shared" si="3"/>
        <v>0</v>
      </c>
    </row>
    <row r="37" spans="1:21" ht="15.75" thickBot="1" x14ac:dyDescent="0.3">
      <c r="A37" s="1"/>
      <c r="B37" s="139">
        <v>43854</v>
      </c>
      <c r="C37" s="42" t="s">
        <v>22</v>
      </c>
      <c r="D37" s="28"/>
      <c r="E37" s="28"/>
      <c r="F37" s="28"/>
      <c r="G37" s="34"/>
      <c r="H37" s="34"/>
      <c r="I37" s="28"/>
      <c r="J37" s="28"/>
      <c r="K37" s="34"/>
      <c r="L37" s="29"/>
      <c r="M37" s="34">
        <f t="shared" si="2"/>
        <v>0</v>
      </c>
      <c r="N37" s="34"/>
      <c r="O37" s="34"/>
      <c r="P37" s="215"/>
      <c r="Q37" s="71"/>
      <c r="R37" s="71"/>
    </row>
    <row r="38" spans="1:21" ht="15.75" thickBot="1" x14ac:dyDescent="0.3">
      <c r="A38" s="1"/>
      <c r="B38" s="139">
        <v>43855</v>
      </c>
      <c r="C38" s="214" t="s">
        <v>6</v>
      </c>
      <c r="D38" s="171"/>
      <c r="E38" s="171"/>
      <c r="F38" s="171"/>
      <c r="G38" s="169"/>
      <c r="H38" s="169" t="b">
        <f t="shared" ref="H24:H78" si="14">IF(G38&gt;$I$6,G38)</f>
        <v>0</v>
      </c>
      <c r="I38" s="171"/>
      <c r="J38" s="171"/>
      <c r="K38" s="169">
        <f t="shared" si="0"/>
        <v>0</v>
      </c>
      <c r="L38" s="216"/>
      <c r="M38" s="169">
        <f t="shared" si="2"/>
        <v>0</v>
      </c>
      <c r="N38" s="169">
        <f t="shared" si="6"/>
        <v>-0.31875000000000003</v>
      </c>
      <c r="O38" s="169">
        <f>N38</f>
        <v>-0.31875000000000003</v>
      </c>
      <c r="P38" s="213">
        <f t="shared" ref="P38" si="15">P35+N38</f>
        <v>-5.7159722222222209</v>
      </c>
      <c r="Q38" s="71"/>
      <c r="R38" s="71"/>
    </row>
    <row r="39" spans="1:21" ht="15.75" thickBot="1" x14ac:dyDescent="0.3">
      <c r="A39" s="1"/>
      <c r="B39" s="139">
        <v>43856</v>
      </c>
      <c r="C39" s="214" t="s">
        <v>7</v>
      </c>
      <c r="D39" s="137"/>
      <c r="E39" s="137"/>
      <c r="F39" s="137"/>
      <c r="G39" s="169">
        <f t="shared" si="11"/>
        <v>0</v>
      </c>
      <c r="H39" s="169" t="b">
        <f t="shared" si="9"/>
        <v>0</v>
      </c>
      <c r="I39" s="137"/>
      <c r="J39" s="137"/>
      <c r="K39" s="169">
        <f t="shared" si="0"/>
        <v>0</v>
      </c>
      <c r="L39" s="172"/>
      <c r="M39" s="169">
        <f t="shared" si="2"/>
        <v>0</v>
      </c>
      <c r="N39" s="169">
        <f t="shared" si="6"/>
        <v>-0.31875000000000003</v>
      </c>
      <c r="O39" s="169">
        <f>O38+N39</f>
        <v>-0.63750000000000007</v>
      </c>
      <c r="P39" s="213">
        <f t="shared" ref="P39:P43" si="16">P38+N39</f>
        <v>-6.0347222222222205</v>
      </c>
      <c r="Q39" s="87">
        <f>M39</f>
        <v>0</v>
      </c>
      <c r="R39" s="71"/>
    </row>
    <row r="40" spans="1:21" ht="15.75" thickBot="1" x14ac:dyDescent="0.3">
      <c r="A40" s="1"/>
      <c r="B40" s="139">
        <v>43857</v>
      </c>
      <c r="C40" s="214" t="s">
        <v>23</v>
      </c>
      <c r="D40" s="137"/>
      <c r="E40" s="137"/>
      <c r="F40" s="137"/>
      <c r="G40" s="169">
        <f t="shared" si="11"/>
        <v>0</v>
      </c>
      <c r="H40" s="169" t="b">
        <f t="shared" si="9"/>
        <v>0</v>
      </c>
      <c r="I40" s="137"/>
      <c r="J40" s="137"/>
      <c r="K40" s="169">
        <f t="shared" si="0"/>
        <v>0</v>
      </c>
      <c r="L40" s="172"/>
      <c r="M40" s="169">
        <f t="shared" si="2"/>
        <v>0</v>
      </c>
      <c r="N40" s="169">
        <f t="shared" si="6"/>
        <v>-0.31875000000000003</v>
      </c>
      <c r="O40" s="169">
        <f>O39+N40</f>
        <v>-0.95625000000000004</v>
      </c>
      <c r="P40" s="213">
        <f t="shared" si="16"/>
        <v>-6.3534722222222202</v>
      </c>
      <c r="Q40" s="87">
        <f>M39+M40</f>
        <v>0</v>
      </c>
      <c r="R40" s="71"/>
    </row>
    <row r="41" spans="1:21" ht="15.75" thickBot="1" x14ac:dyDescent="0.3">
      <c r="A41" s="1"/>
      <c r="B41" s="139">
        <v>43858</v>
      </c>
      <c r="C41" s="214" t="s">
        <v>8</v>
      </c>
      <c r="D41" s="137"/>
      <c r="E41" s="137"/>
      <c r="F41" s="137"/>
      <c r="G41" s="169">
        <f t="shared" si="11"/>
        <v>0</v>
      </c>
      <c r="H41" s="169" t="b">
        <f t="shared" si="9"/>
        <v>0</v>
      </c>
      <c r="I41" s="137"/>
      <c r="J41" s="137"/>
      <c r="K41" s="169">
        <f t="shared" si="0"/>
        <v>0</v>
      </c>
      <c r="L41" s="172"/>
      <c r="M41" s="169">
        <f t="shared" si="2"/>
        <v>0</v>
      </c>
      <c r="N41" s="169">
        <f t="shared" si="6"/>
        <v>-0.31875000000000003</v>
      </c>
      <c r="O41" s="169">
        <f>O40+N41</f>
        <v>-1.2750000000000001</v>
      </c>
      <c r="P41" s="213">
        <f t="shared" si="8"/>
        <v>-6.6722222222222198</v>
      </c>
      <c r="Q41" s="87">
        <f>Q40+M41</f>
        <v>0</v>
      </c>
      <c r="R41" s="71"/>
    </row>
    <row r="42" spans="1:21" ht="15.75" thickBot="1" x14ac:dyDescent="0.3">
      <c r="B42" s="139">
        <v>43859</v>
      </c>
      <c r="C42" s="214" t="s">
        <v>9</v>
      </c>
      <c r="D42" s="137"/>
      <c r="E42" s="137"/>
      <c r="F42" s="137"/>
      <c r="G42" s="169">
        <f t="shared" si="11"/>
        <v>0</v>
      </c>
      <c r="H42" s="169" t="b">
        <f t="shared" si="9"/>
        <v>0</v>
      </c>
      <c r="I42" s="137"/>
      <c r="J42" s="137"/>
      <c r="K42" s="169">
        <f t="shared" si="0"/>
        <v>0</v>
      </c>
      <c r="L42" s="172"/>
      <c r="M42" s="169">
        <f t="shared" si="2"/>
        <v>0</v>
      </c>
      <c r="N42" s="169">
        <f t="shared" si="6"/>
        <v>-0.31875000000000003</v>
      </c>
      <c r="O42" s="169">
        <f>O41+N42</f>
        <v>-1.5937500000000002</v>
      </c>
      <c r="P42" s="213">
        <f t="shared" si="8"/>
        <v>-6.9909722222222195</v>
      </c>
      <c r="Q42" s="87">
        <f>Q41+M42</f>
        <v>0</v>
      </c>
      <c r="R42" s="71"/>
      <c r="T42" s="166" t="s">
        <v>61</v>
      </c>
    </row>
    <row r="43" spans="1:21" x14ac:dyDescent="0.25">
      <c r="B43" s="139">
        <v>43860</v>
      </c>
      <c r="C43" s="42" t="s">
        <v>21</v>
      </c>
      <c r="D43" s="43"/>
      <c r="E43" s="43"/>
      <c r="F43" s="43"/>
      <c r="G43" s="34"/>
      <c r="H43" s="34"/>
      <c r="I43" s="43"/>
      <c r="J43" s="28"/>
      <c r="K43" s="34"/>
      <c r="L43" s="27"/>
      <c r="M43" s="34">
        <f t="shared" si="2"/>
        <v>0</v>
      </c>
      <c r="N43" s="34"/>
      <c r="O43" s="34"/>
      <c r="P43" s="213"/>
      <c r="Q43" s="87"/>
      <c r="R43" s="72">
        <f t="shared" ref="R43:R64" si="17">Q43/5</f>
        <v>0</v>
      </c>
      <c r="S43" s="164"/>
      <c r="T43" s="165">
        <f>SUM(M13:M43)</f>
        <v>2.1527777777777868E-2</v>
      </c>
      <c r="U43" s="167">
        <f>T43/18</f>
        <v>1.1959876543209927E-3</v>
      </c>
    </row>
    <row r="44" spans="1:21" ht="15.75" thickBot="1" x14ac:dyDescent="0.3">
      <c r="B44" s="139">
        <v>43861</v>
      </c>
      <c r="C44" s="42" t="s">
        <v>22</v>
      </c>
      <c r="D44" s="43"/>
      <c r="E44" s="43"/>
      <c r="F44" s="43"/>
      <c r="G44" s="34"/>
      <c r="H44" s="34"/>
      <c r="I44" s="28"/>
      <c r="J44" s="28"/>
      <c r="K44" s="34"/>
      <c r="L44" s="27"/>
      <c r="M44" s="34">
        <f t="shared" si="2"/>
        <v>0</v>
      </c>
      <c r="N44" s="34"/>
      <c r="O44" s="34"/>
      <c r="P44" s="215"/>
      <c r="Q44" s="71"/>
      <c r="R44" s="71"/>
    </row>
    <row r="45" spans="1:21" x14ac:dyDescent="0.25">
      <c r="B45" s="139">
        <v>43862</v>
      </c>
      <c r="C45" s="214" t="s">
        <v>6</v>
      </c>
      <c r="D45" s="137"/>
      <c r="E45" s="137"/>
      <c r="F45" s="137"/>
      <c r="G45" s="169"/>
      <c r="H45" s="169" t="b">
        <f t="shared" ref="H45" si="18">IF(G45&gt;$I$6,G45)</f>
        <v>0</v>
      </c>
      <c r="I45" s="171"/>
      <c r="J45" s="171"/>
      <c r="K45" s="169">
        <f t="shared" si="0"/>
        <v>0</v>
      </c>
      <c r="L45" s="172"/>
      <c r="M45" s="169">
        <f t="shared" si="2"/>
        <v>0</v>
      </c>
      <c r="N45" s="169">
        <f t="shared" si="6"/>
        <v>-0.31875000000000003</v>
      </c>
      <c r="O45" s="169">
        <f>N45</f>
        <v>-0.31875000000000003</v>
      </c>
      <c r="P45" s="213">
        <f>N45</f>
        <v>-0.31875000000000003</v>
      </c>
      <c r="Q45" s="71"/>
      <c r="R45" s="71"/>
    </row>
    <row r="46" spans="1:21" ht="15.75" thickBot="1" x14ac:dyDescent="0.3">
      <c r="B46" s="139">
        <v>43863</v>
      </c>
      <c r="C46" s="214" t="s">
        <v>7</v>
      </c>
      <c r="D46" s="137"/>
      <c r="E46" s="137"/>
      <c r="F46" s="137"/>
      <c r="G46" s="169">
        <f t="shared" ref="G46:G109" si="19">F46-E46</f>
        <v>0</v>
      </c>
      <c r="H46" s="169" t="b">
        <f t="shared" si="14"/>
        <v>0</v>
      </c>
      <c r="I46" s="171"/>
      <c r="J46" s="171"/>
      <c r="K46" s="169">
        <f t="shared" si="0"/>
        <v>0</v>
      </c>
      <c r="L46" s="172"/>
      <c r="M46" s="169">
        <f t="shared" si="2"/>
        <v>0</v>
      </c>
      <c r="N46" s="169">
        <f t="shared" si="6"/>
        <v>-0.31875000000000003</v>
      </c>
      <c r="O46" s="169">
        <f>O45+N46</f>
        <v>-0.63750000000000007</v>
      </c>
      <c r="P46" s="215">
        <f>P45+N46</f>
        <v>-0.63750000000000007</v>
      </c>
      <c r="Q46" s="87">
        <f>M46</f>
        <v>0</v>
      </c>
      <c r="R46" s="71"/>
    </row>
    <row r="47" spans="1:21" x14ac:dyDescent="0.25">
      <c r="B47" s="139">
        <v>43864</v>
      </c>
      <c r="C47" s="214" t="s">
        <v>23</v>
      </c>
      <c r="D47" s="137"/>
      <c r="E47" s="137"/>
      <c r="F47" s="137"/>
      <c r="G47" s="169">
        <f t="shared" si="19"/>
        <v>0</v>
      </c>
      <c r="H47" s="169" t="b">
        <f t="shared" si="14"/>
        <v>0</v>
      </c>
      <c r="I47" s="171"/>
      <c r="J47" s="171"/>
      <c r="K47" s="169">
        <f t="shared" si="0"/>
        <v>0</v>
      </c>
      <c r="L47" s="172"/>
      <c r="M47" s="169">
        <f t="shared" si="2"/>
        <v>0</v>
      </c>
      <c r="N47" s="169">
        <f t="shared" si="6"/>
        <v>-0.31875000000000003</v>
      </c>
      <c r="O47" s="169">
        <f>O46+N47</f>
        <v>-0.95625000000000004</v>
      </c>
      <c r="P47" s="213">
        <f t="shared" ref="P46:P109" si="20">P46+N47</f>
        <v>-0.95625000000000004</v>
      </c>
      <c r="Q47" s="87">
        <f>M46+M47</f>
        <v>0</v>
      </c>
      <c r="R47" s="71"/>
    </row>
    <row r="48" spans="1:21" ht="15.75" thickBot="1" x14ac:dyDescent="0.3">
      <c r="B48" s="139">
        <v>43865</v>
      </c>
      <c r="C48" s="214" t="s">
        <v>8</v>
      </c>
      <c r="D48" s="137"/>
      <c r="E48" s="137"/>
      <c r="F48" s="137"/>
      <c r="G48" s="169">
        <f t="shared" si="19"/>
        <v>0</v>
      </c>
      <c r="H48" s="169" t="b">
        <f t="shared" si="14"/>
        <v>0</v>
      </c>
      <c r="I48" s="137">
        <v>0.58124999999999993</v>
      </c>
      <c r="J48" s="137">
        <v>0.62569444444444444</v>
      </c>
      <c r="K48" s="169">
        <f t="shared" si="0"/>
        <v>4.4444444444444509E-2</v>
      </c>
      <c r="L48" s="172"/>
      <c r="M48" s="169">
        <f t="shared" si="2"/>
        <v>-4.4444444444444509E-2</v>
      </c>
      <c r="N48" s="169">
        <f t="shared" si="6"/>
        <v>-0.36319444444444454</v>
      </c>
      <c r="O48" s="169">
        <f>O47+N48</f>
        <v>-1.3194444444444446</v>
      </c>
      <c r="P48" s="215">
        <f t="shared" si="20"/>
        <v>-1.3194444444444446</v>
      </c>
      <c r="Q48" s="87">
        <f>Q47+M48</f>
        <v>-4.4444444444444509E-2</v>
      </c>
      <c r="R48" s="71"/>
    </row>
    <row r="49" spans="2:19" ht="15.75" thickBot="1" x14ac:dyDescent="0.3">
      <c r="B49" s="139">
        <v>43866</v>
      </c>
      <c r="C49" s="214" t="s">
        <v>9</v>
      </c>
      <c r="D49" s="137"/>
      <c r="E49" s="137"/>
      <c r="F49" s="137"/>
      <c r="G49" s="169">
        <f t="shared" si="19"/>
        <v>0</v>
      </c>
      <c r="H49" s="169" t="b">
        <f t="shared" si="9"/>
        <v>0</v>
      </c>
      <c r="I49" s="171"/>
      <c r="J49" s="171"/>
      <c r="K49" s="169">
        <f t="shared" si="0"/>
        <v>0</v>
      </c>
      <c r="L49" s="172"/>
      <c r="M49" s="169">
        <f t="shared" si="2"/>
        <v>0</v>
      </c>
      <c r="N49" s="169">
        <f t="shared" si="6"/>
        <v>-0.31875000000000003</v>
      </c>
      <c r="O49" s="169">
        <f>O48+N49</f>
        <v>-1.6381944444444447</v>
      </c>
      <c r="P49" s="213">
        <f t="shared" si="20"/>
        <v>-1.6381944444444447</v>
      </c>
      <c r="Q49" s="87">
        <f>Q48+M49</f>
        <v>-4.4444444444444509E-2</v>
      </c>
      <c r="R49" s="71"/>
    </row>
    <row r="50" spans="2:19" x14ac:dyDescent="0.25">
      <c r="B50" s="139">
        <v>43867</v>
      </c>
      <c r="C50" s="42" t="s">
        <v>21</v>
      </c>
      <c r="D50" s="43"/>
      <c r="E50" s="43"/>
      <c r="F50" s="43"/>
      <c r="G50" s="34"/>
      <c r="H50" s="34"/>
      <c r="I50" s="28"/>
      <c r="J50" s="28"/>
      <c r="K50" s="34"/>
      <c r="L50" s="27"/>
      <c r="M50" s="34">
        <f t="shared" si="2"/>
        <v>0</v>
      </c>
      <c r="N50" s="34"/>
      <c r="O50" s="34"/>
      <c r="P50" s="213"/>
      <c r="Q50" s="87"/>
      <c r="R50" s="72">
        <f t="shared" ref="R50" si="21">Q50/5</f>
        <v>0</v>
      </c>
    </row>
    <row r="51" spans="2:19" ht="15.75" thickBot="1" x14ac:dyDescent="0.3">
      <c r="B51" s="139">
        <v>43868</v>
      </c>
      <c r="C51" s="42" t="s">
        <v>22</v>
      </c>
      <c r="D51" s="43"/>
      <c r="E51" s="43"/>
      <c r="F51" s="43"/>
      <c r="G51" s="34"/>
      <c r="H51" s="34"/>
      <c r="I51" s="28"/>
      <c r="J51" s="28"/>
      <c r="K51" s="34"/>
      <c r="L51" s="27"/>
      <c r="M51" s="34">
        <f t="shared" si="2"/>
        <v>0</v>
      </c>
      <c r="N51" s="34"/>
      <c r="O51" s="34"/>
      <c r="P51" s="215"/>
      <c r="Q51" s="71"/>
      <c r="R51" s="71"/>
    </row>
    <row r="52" spans="2:19" x14ac:dyDescent="0.25">
      <c r="B52" s="139">
        <v>43869</v>
      </c>
      <c r="C52" s="214" t="s">
        <v>6</v>
      </c>
      <c r="D52" s="137"/>
      <c r="E52" s="137"/>
      <c r="F52" s="137"/>
      <c r="G52" s="169"/>
      <c r="H52" s="169" t="b">
        <f t="shared" si="9"/>
        <v>0</v>
      </c>
      <c r="I52" s="171"/>
      <c r="J52" s="171"/>
      <c r="K52" s="169">
        <f t="shared" si="0"/>
        <v>0</v>
      </c>
      <c r="L52" s="172"/>
      <c r="M52" s="169">
        <f t="shared" si="2"/>
        <v>0</v>
      </c>
      <c r="N52" s="169">
        <f t="shared" si="6"/>
        <v>-0.31875000000000003</v>
      </c>
      <c r="O52" s="169">
        <f>N52</f>
        <v>-0.31875000000000003</v>
      </c>
      <c r="P52" s="213">
        <f>P49+N52</f>
        <v>-1.9569444444444448</v>
      </c>
      <c r="Q52" s="71"/>
      <c r="R52" s="71"/>
    </row>
    <row r="53" spans="2:19" ht="15.75" thickBot="1" x14ac:dyDescent="0.3">
      <c r="B53" s="139">
        <v>43870</v>
      </c>
      <c r="C53" s="214" t="s">
        <v>7</v>
      </c>
      <c r="D53" s="137"/>
      <c r="E53" s="137"/>
      <c r="F53" s="137"/>
      <c r="G53" s="169">
        <f t="shared" si="19"/>
        <v>0</v>
      </c>
      <c r="H53" s="169" t="b">
        <f t="shared" ref="H53:H55" si="22">IF(G53&gt;$I$6,G53)</f>
        <v>0</v>
      </c>
      <c r="I53" s="171"/>
      <c r="J53" s="171"/>
      <c r="K53" s="169">
        <f t="shared" si="0"/>
        <v>0</v>
      </c>
      <c r="L53" s="172"/>
      <c r="M53" s="169">
        <f t="shared" si="2"/>
        <v>0</v>
      </c>
      <c r="N53" s="169">
        <f t="shared" si="6"/>
        <v>-0.31875000000000003</v>
      </c>
      <c r="O53" s="169">
        <f>O52+N53</f>
        <v>-0.63750000000000007</v>
      </c>
      <c r="P53" s="215">
        <f>P52+N53</f>
        <v>-2.2756944444444449</v>
      </c>
      <c r="Q53" s="87">
        <f>M53</f>
        <v>0</v>
      </c>
      <c r="R53" s="71"/>
    </row>
    <row r="54" spans="2:19" x14ac:dyDescent="0.25">
      <c r="B54" s="139">
        <v>43871</v>
      </c>
      <c r="C54" s="214" t="s">
        <v>23</v>
      </c>
      <c r="D54" s="137"/>
      <c r="E54" s="137"/>
      <c r="F54" s="137"/>
      <c r="G54" s="169">
        <f t="shared" si="19"/>
        <v>0</v>
      </c>
      <c r="H54" s="169" t="b">
        <f t="shared" si="22"/>
        <v>0</v>
      </c>
      <c r="I54" s="171"/>
      <c r="J54" s="171"/>
      <c r="K54" s="169">
        <f t="shared" si="0"/>
        <v>0</v>
      </c>
      <c r="L54" s="172"/>
      <c r="M54" s="169">
        <f t="shared" si="2"/>
        <v>0</v>
      </c>
      <c r="N54" s="169">
        <f t="shared" si="6"/>
        <v>-0.31875000000000003</v>
      </c>
      <c r="O54" s="169">
        <f>O53+N54</f>
        <v>-0.95625000000000004</v>
      </c>
      <c r="P54" s="213">
        <f t="shared" si="20"/>
        <v>-2.594444444444445</v>
      </c>
      <c r="Q54" s="87">
        <f>M53+M54</f>
        <v>0</v>
      </c>
      <c r="R54" s="71"/>
    </row>
    <row r="55" spans="2:19" ht="15.75" thickBot="1" x14ac:dyDescent="0.3">
      <c r="B55" s="139">
        <v>43872</v>
      </c>
      <c r="C55" s="214" t="s">
        <v>8</v>
      </c>
      <c r="D55" s="137"/>
      <c r="E55" s="137"/>
      <c r="F55" s="137"/>
      <c r="G55" s="169">
        <f t="shared" si="19"/>
        <v>0</v>
      </c>
      <c r="H55" s="169" t="b">
        <f t="shared" si="22"/>
        <v>0</v>
      </c>
      <c r="I55" s="137"/>
      <c r="J55" s="137"/>
      <c r="K55" s="169">
        <f t="shared" si="0"/>
        <v>0</v>
      </c>
      <c r="L55" s="172"/>
      <c r="M55" s="169">
        <f t="shared" si="2"/>
        <v>0</v>
      </c>
      <c r="N55" s="169">
        <f t="shared" si="6"/>
        <v>-0.31875000000000003</v>
      </c>
      <c r="O55" s="169">
        <f>O54+N55</f>
        <v>-1.2750000000000001</v>
      </c>
      <c r="P55" s="215">
        <f t="shared" si="20"/>
        <v>-2.9131944444444451</v>
      </c>
      <c r="Q55" s="87">
        <f>Q54+M55</f>
        <v>0</v>
      </c>
      <c r="R55" s="71"/>
    </row>
    <row r="56" spans="2:19" ht="15.75" thickBot="1" x14ac:dyDescent="0.3">
      <c r="B56" s="139">
        <v>43873</v>
      </c>
      <c r="C56" s="214" t="s">
        <v>9</v>
      </c>
      <c r="D56" s="137"/>
      <c r="E56" s="137"/>
      <c r="F56" s="137"/>
      <c r="G56" s="169">
        <f t="shared" si="19"/>
        <v>0</v>
      </c>
      <c r="H56" s="169" t="b">
        <f t="shared" si="14"/>
        <v>0</v>
      </c>
      <c r="I56" s="171"/>
      <c r="J56" s="171"/>
      <c r="K56" s="169">
        <f t="shared" si="0"/>
        <v>0</v>
      </c>
      <c r="L56" s="172"/>
      <c r="M56" s="169">
        <f t="shared" si="2"/>
        <v>0</v>
      </c>
      <c r="N56" s="169">
        <f t="shared" si="6"/>
        <v>-0.31875000000000003</v>
      </c>
      <c r="O56" s="169">
        <f>O55+N56</f>
        <v>-1.5937500000000002</v>
      </c>
      <c r="P56" s="213">
        <f t="shared" si="20"/>
        <v>-3.2319444444444452</v>
      </c>
      <c r="Q56" s="87">
        <f>Q55+M56</f>
        <v>0</v>
      </c>
      <c r="R56" s="71"/>
    </row>
    <row r="57" spans="2:19" x14ac:dyDescent="0.25">
      <c r="B57" s="139">
        <v>43874</v>
      </c>
      <c r="C57" s="42" t="s">
        <v>21</v>
      </c>
      <c r="D57" s="43"/>
      <c r="E57" s="43"/>
      <c r="F57" s="43"/>
      <c r="G57" s="34"/>
      <c r="H57" s="34"/>
      <c r="I57" s="28"/>
      <c r="J57" s="28"/>
      <c r="K57" s="34"/>
      <c r="L57" s="27"/>
      <c r="M57" s="34">
        <f t="shared" si="2"/>
        <v>0</v>
      </c>
      <c r="N57" s="34"/>
      <c r="O57" s="34"/>
      <c r="P57" s="213"/>
      <c r="Q57" s="87"/>
      <c r="R57" s="72">
        <f t="shared" si="3"/>
        <v>0</v>
      </c>
    </row>
    <row r="58" spans="2:19" ht="15.75" thickBot="1" x14ac:dyDescent="0.3">
      <c r="B58" s="139">
        <v>43875</v>
      </c>
      <c r="C58" s="42" t="s">
        <v>22</v>
      </c>
      <c r="D58" s="43"/>
      <c r="E58" s="43"/>
      <c r="F58" s="43"/>
      <c r="G58" s="34"/>
      <c r="H58" s="34"/>
      <c r="I58" s="28"/>
      <c r="J58" s="28"/>
      <c r="K58" s="34"/>
      <c r="L58" s="27"/>
      <c r="M58" s="34">
        <f t="shared" si="2"/>
        <v>0</v>
      </c>
      <c r="N58" s="34"/>
      <c r="O58" s="34"/>
      <c r="P58" s="215"/>
      <c r="Q58" s="71"/>
      <c r="R58" s="71"/>
    </row>
    <row r="59" spans="2:19" x14ac:dyDescent="0.25">
      <c r="B59" s="139">
        <v>43876</v>
      </c>
      <c r="C59" s="214" t="s">
        <v>6</v>
      </c>
      <c r="D59" s="137"/>
      <c r="E59" s="137"/>
      <c r="F59" s="137"/>
      <c r="G59" s="169"/>
      <c r="H59" s="169" t="b">
        <f t="shared" si="9"/>
        <v>0</v>
      </c>
      <c r="I59" s="171"/>
      <c r="J59" s="171"/>
      <c r="K59" s="169">
        <f t="shared" si="0"/>
        <v>0</v>
      </c>
      <c r="L59" s="172"/>
      <c r="M59" s="169">
        <f t="shared" si="2"/>
        <v>0</v>
      </c>
      <c r="N59" s="169">
        <f t="shared" si="6"/>
        <v>-0.31875000000000003</v>
      </c>
      <c r="O59" s="169">
        <f>N59</f>
        <v>-0.31875000000000003</v>
      </c>
      <c r="P59" s="213">
        <f>P56+N59</f>
        <v>-3.5506944444444453</v>
      </c>
      <c r="Q59" s="71"/>
      <c r="R59" s="71"/>
    </row>
    <row r="60" spans="2:19" ht="15.75" thickBot="1" x14ac:dyDescent="0.3">
      <c r="B60" s="139">
        <v>43877</v>
      </c>
      <c r="C60" s="214" t="s">
        <v>7</v>
      </c>
      <c r="D60" s="137"/>
      <c r="E60" s="137"/>
      <c r="F60" s="137"/>
      <c r="G60" s="169">
        <f t="shared" si="19"/>
        <v>0</v>
      </c>
      <c r="H60" s="169" t="b">
        <f t="shared" si="9"/>
        <v>0</v>
      </c>
      <c r="I60" s="171"/>
      <c r="J60" s="171"/>
      <c r="K60" s="169">
        <f t="shared" si="0"/>
        <v>0</v>
      </c>
      <c r="L60" s="172"/>
      <c r="M60" s="169">
        <f t="shared" si="2"/>
        <v>0</v>
      </c>
      <c r="N60" s="169">
        <f t="shared" si="6"/>
        <v>-0.31875000000000003</v>
      </c>
      <c r="O60" s="169">
        <f>O59+N60</f>
        <v>-0.63750000000000007</v>
      </c>
      <c r="P60" s="215">
        <f t="shared" ref="P60:P123" si="23">P59+N60</f>
        <v>-3.8694444444444454</v>
      </c>
      <c r="Q60" s="87">
        <f>M60</f>
        <v>0</v>
      </c>
      <c r="R60" s="71"/>
    </row>
    <row r="61" spans="2:19" x14ac:dyDescent="0.25">
      <c r="B61" s="139">
        <v>43878</v>
      </c>
      <c r="C61" s="214" t="s">
        <v>23</v>
      </c>
      <c r="D61" s="137"/>
      <c r="E61" s="137"/>
      <c r="F61" s="137"/>
      <c r="G61" s="169">
        <f t="shared" si="19"/>
        <v>0</v>
      </c>
      <c r="H61" s="169" t="b">
        <f t="shared" si="9"/>
        <v>0</v>
      </c>
      <c r="I61" s="171"/>
      <c r="J61" s="171"/>
      <c r="K61" s="169">
        <f t="shared" si="0"/>
        <v>0</v>
      </c>
      <c r="L61" s="172"/>
      <c r="M61" s="169">
        <f t="shared" si="2"/>
        <v>0</v>
      </c>
      <c r="N61" s="169">
        <f t="shared" si="6"/>
        <v>-0.31875000000000003</v>
      </c>
      <c r="O61" s="169">
        <f>O60+N61</f>
        <v>-0.95625000000000004</v>
      </c>
      <c r="P61" s="213">
        <f t="shared" si="23"/>
        <v>-4.188194444444445</v>
      </c>
      <c r="Q61" s="87">
        <f>M60+M61</f>
        <v>0</v>
      </c>
      <c r="R61" s="71"/>
    </row>
    <row r="62" spans="2:19" ht="15.75" thickBot="1" x14ac:dyDescent="0.3">
      <c r="B62" s="148">
        <v>43879</v>
      </c>
      <c r="C62" s="214" t="s">
        <v>8</v>
      </c>
      <c r="D62" s="137"/>
      <c r="E62" s="137"/>
      <c r="F62" s="137"/>
      <c r="G62" s="169">
        <f t="shared" si="19"/>
        <v>0</v>
      </c>
      <c r="H62" s="169" t="b">
        <f t="shared" si="9"/>
        <v>0</v>
      </c>
      <c r="I62" s="137"/>
      <c r="J62" s="137"/>
      <c r="K62" s="169">
        <f t="shared" si="0"/>
        <v>0</v>
      </c>
      <c r="L62" s="172"/>
      <c r="M62" s="169">
        <f t="shared" si="2"/>
        <v>0</v>
      </c>
      <c r="N62" s="169">
        <f t="shared" si="6"/>
        <v>-0.31875000000000003</v>
      </c>
      <c r="O62" s="169">
        <f>O61+N62</f>
        <v>-1.2750000000000001</v>
      </c>
      <c r="P62" s="215">
        <f t="shared" si="20"/>
        <v>-4.5069444444444446</v>
      </c>
      <c r="Q62" s="87">
        <f>Q61+M62</f>
        <v>0</v>
      </c>
      <c r="R62" s="71"/>
      <c r="S62" t="s">
        <v>63</v>
      </c>
    </row>
    <row r="63" spans="2:19" ht="15.75" thickBot="1" x14ac:dyDescent="0.3">
      <c r="B63" s="148">
        <v>43880</v>
      </c>
      <c r="C63" s="214" t="s">
        <v>9</v>
      </c>
      <c r="D63" s="137"/>
      <c r="E63" s="137"/>
      <c r="F63" s="137"/>
      <c r="G63" s="169">
        <f t="shared" si="19"/>
        <v>0</v>
      </c>
      <c r="H63" s="169" t="b">
        <f t="shared" ref="H63:H65" si="24">IF(G63&gt;$I$6,G63)</f>
        <v>0</v>
      </c>
      <c r="I63" s="171"/>
      <c r="J63" s="171"/>
      <c r="K63" s="169">
        <f t="shared" si="0"/>
        <v>0</v>
      </c>
      <c r="L63" s="172"/>
      <c r="M63" s="169">
        <f t="shared" si="2"/>
        <v>0</v>
      </c>
      <c r="N63" s="169">
        <f t="shared" si="6"/>
        <v>-0.31875000000000003</v>
      </c>
      <c r="O63" s="169">
        <f>O62+N63</f>
        <v>-1.5937500000000002</v>
      </c>
      <c r="P63" s="213">
        <f t="shared" si="20"/>
        <v>-4.8256944444444443</v>
      </c>
      <c r="Q63" s="87">
        <f>Q62+M63</f>
        <v>0</v>
      </c>
      <c r="R63" s="71"/>
    </row>
    <row r="64" spans="2:19" x14ac:dyDescent="0.25">
      <c r="B64" s="148">
        <v>43881</v>
      </c>
      <c r="C64" s="42" t="s">
        <v>21</v>
      </c>
      <c r="D64" s="43"/>
      <c r="E64" s="43"/>
      <c r="F64" s="43"/>
      <c r="G64" s="34">
        <f t="shared" si="19"/>
        <v>0</v>
      </c>
      <c r="H64" s="34" t="b">
        <f t="shared" si="24"/>
        <v>0</v>
      </c>
      <c r="I64" s="28"/>
      <c r="J64" s="28"/>
      <c r="K64" s="34">
        <f t="shared" si="0"/>
        <v>0</v>
      </c>
      <c r="L64" s="27"/>
      <c r="M64" s="34">
        <f t="shared" si="2"/>
        <v>0</v>
      </c>
      <c r="N64" s="34">
        <f t="shared" si="6"/>
        <v>-0.31875000000000003</v>
      </c>
      <c r="O64" s="34">
        <f t="shared" ref="O46:O99" si="25">O63+N64</f>
        <v>-1.9125000000000003</v>
      </c>
      <c r="P64" s="213"/>
      <c r="Q64" s="87">
        <f>Q63+M64</f>
        <v>0</v>
      </c>
      <c r="R64" s="72">
        <f t="shared" si="17"/>
        <v>0</v>
      </c>
    </row>
    <row r="65" spans="2:21" ht="15.75" thickBot="1" x14ac:dyDescent="0.3">
      <c r="B65" s="139">
        <v>43882</v>
      </c>
      <c r="C65" s="42" t="s">
        <v>22</v>
      </c>
      <c r="D65" s="43"/>
      <c r="E65" s="43"/>
      <c r="F65" s="43"/>
      <c r="G65" s="34"/>
      <c r="H65" s="34" t="b">
        <f t="shared" si="24"/>
        <v>0</v>
      </c>
      <c r="I65" s="28"/>
      <c r="J65" s="28"/>
      <c r="K65" s="34">
        <f t="shared" si="0"/>
        <v>0</v>
      </c>
      <c r="L65" s="27"/>
      <c r="M65" s="34">
        <f t="shared" si="2"/>
        <v>0</v>
      </c>
      <c r="N65" s="34">
        <f t="shared" si="6"/>
        <v>-0.31875000000000003</v>
      </c>
      <c r="O65" s="34"/>
      <c r="P65" s="215"/>
      <c r="Q65" s="71"/>
      <c r="R65" s="71"/>
    </row>
    <row r="66" spans="2:21" x14ac:dyDescent="0.25">
      <c r="B66" s="139">
        <v>43883</v>
      </c>
      <c r="C66" s="214" t="s">
        <v>6</v>
      </c>
      <c r="D66" s="137"/>
      <c r="E66" s="137"/>
      <c r="F66" s="137"/>
      <c r="G66" s="169"/>
      <c r="H66" s="169" t="b">
        <f t="shared" si="14"/>
        <v>0</v>
      </c>
      <c r="I66" s="171"/>
      <c r="J66" s="171"/>
      <c r="K66" s="169">
        <f t="shared" si="0"/>
        <v>0</v>
      </c>
      <c r="L66" s="172"/>
      <c r="M66" s="169">
        <f t="shared" si="2"/>
        <v>0</v>
      </c>
      <c r="N66" s="169">
        <f t="shared" si="6"/>
        <v>-0.31875000000000003</v>
      </c>
      <c r="O66" s="169">
        <f>N66</f>
        <v>-0.31875000000000003</v>
      </c>
      <c r="P66" s="213">
        <f>P63+N66</f>
        <v>-5.1444444444444439</v>
      </c>
      <c r="Q66" s="71"/>
      <c r="R66" s="71"/>
    </row>
    <row r="67" spans="2:21" ht="15.75" thickBot="1" x14ac:dyDescent="0.3">
      <c r="B67" s="139">
        <v>43884</v>
      </c>
      <c r="C67" s="214" t="s">
        <v>7</v>
      </c>
      <c r="D67" s="137"/>
      <c r="E67" s="137"/>
      <c r="F67" s="137"/>
      <c r="G67" s="169">
        <f t="shared" si="19"/>
        <v>0</v>
      </c>
      <c r="H67" s="169" t="b">
        <f t="shared" si="14"/>
        <v>0</v>
      </c>
      <c r="I67" s="171"/>
      <c r="J67" s="171"/>
      <c r="K67" s="169">
        <f t="shared" si="0"/>
        <v>0</v>
      </c>
      <c r="L67" s="172"/>
      <c r="M67" s="169">
        <f t="shared" si="2"/>
        <v>0</v>
      </c>
      <c r="N67" s="169">
        <f t="shared" si="6"/>
        <v>-0.31875000000000003</v>
      </c>
      <c r="O67" s="169">
        <f>O66+N67</f>
        <v>-0.63750000000000007</v>
      </c>
      <c r="P67" s="215">
        <f t="shared" ref="P67:P130" si="26">P66+N67</f>
        <v>-5.4631944444444436</v>
      </c>
      <c r="Q67" s="87">
        <f>M67</f>
        <v>0</v>
      </c>
      <c r="R67" s="71"/>
    </row>
    <row r="68" spans="2:21" x14ac:dyDescent="0.25">
      <c r="B68" s="139">
        <v>43885</v>
      </c>
      <c r="C68" s="214" t="s">
        <v>23</v>
      </c>
      <c r="D68" s="137"/>
      <c r="E68" s="137"/>
      <c r="F68" s="137"/>
      <c r="G68" s="169">
        <f t="shared" si="19"/>
        <v>0</v>
      </c>
      <c r="H68" s="169" t="b">
        <f t="shared" si="14"/>
        <v>0</v>
      </c>
      <c r="I68" s="171"/>
      <c r="J68" s="171"/>
      <c r="K68" s="169">
        <f t="shared" si="0"/>
        <v>0</v>
      </c>
      <c r="L68" s="172"/>
      <c r="M68" s="169">
        <f t="shared" si="2"/>
        <v>0</v>
      </c>
      <c r="N68" s="169">
        <f t="shared" si="6"/>
        <v>-0.31875000000000003</v>
      </c>
      <c r="O68" s="169">
        <f>O67+N68</f>
        <v>-0.95625000000000004</v>
      </c>
      <c r="P68" s="213">
        <f t="shared" si="26"/>
        <v>-5.7819444444444432</v>
      </c>
      <c r="Q68" s="87">
        <f>M67+M68</f>
        <v>0</v>
      </c>
      <c r="R68" s="71"/>
    </row>
    <row r="69" spans="2:21" ht="15.75" thickBot="1" x14ac:dyDescent="0.3">
      <c r="B69" s="139">
        <v>43886</v>
      </c>
      <c r="C69" s="214" t="s">
        <v>8</v>
      </c>
      <c r="D69" s="137"/>
      <c r="E69" s="137"/>
      <c r="F69" s="137"/>
      <c r="G69" s="169">
        <f t="shared" si="19"/>
        <v>0</v>
      </c>
      <c r="H69" s="169" t="b">
        <f t="shared" si="9"/>
        <v>0</v>
      </c>
      <c r="I69" s="137"/>
      <c r="J69" s="137"/>
      <c r="K69" s="169">
        <f t="shared" si="0"/>
        <v>0</v>
      </c>
      <c r="L69" s="172"/>
      <c r="M69" s="169">
        <f t="shared" si="2"/>
        <v>0</v>
      </c>
      <c r="N69" s="169">
        <f t="shared" si="6"/>
        <v>-0.31875000000000003</v>
      </c>
      <c r="O69" s="169">
        <f>O68+N69</f>
        <v>-1.2750000000000001</v>
      </c>
      <c r="P69" s="215">
        <f t="shared" si="20"/>
        <v>-6.1006944444444429</v>
      </c>
      <c r="Q69" s="87">
        <f>Q68+M69</f>
        <v>0</v>
      </c>
      <c r="R69" s="71"/>
    </row>
    <row r="70" spans="2:21" ht="15.75" thickBot="1" x14ac:dyDescent="0.3">
      <c r="B70" s="139">
        <v>43887</v>
      </c>
      <c r="C70" s="214" t="s">
        <v>9</v>
      </c>
      <c r="D70" s="137"/>
      <c r="E70" s="137"/>
      <c r="F70" s="137"/>
      <c r="G70" s="169">
        <f t="shared" si="19"/>
        <v>0</v>
      </c>
      <c r="H70" s="169" t="b">
        <f t="shared" si="9"/>
        <v>0</v>
      </c>
      <c r="I70" s="171"/>
      <c r="J70" s="171"/>
      <c r="K70" s="169">
        <f t="shared" si="0"/>
        <v>0</v>
      </c>
      <c r="L70" s="172"/>
      <c r="M70" s="169">
        <f t="shared" si="2"/>
        <v>0</v>
      </c>
      <c r="N70" s="169">
        <f t="shared" si="6"/>
        <v>-0.31875000000000003</v>
      </c>
      <c r="O70" s="169">
        <f>O69+N70</f>
        <v>-1.5937500000000002</v>
      </c>
      <c r="P70" s="213">
        <f t="shared" si="20"/>
        <v>-6.4194444444444425</v>
      </c>
      <c r="Q70" s="87">
        <f>Q69+M70</f>
        <v>0</v>
      </c>
      <c r="R70" s="71"/>
      <c r="T70" s="166" t="s">
        <v>61</v>
      </c>
    </row>
    <row r="71" spans="2:21" x14ac:dyDescent="0.25">
      <c r="B71" s="139">
        <v>43888</v>
      </c>
      <c r="C71" s="42" t="s">
        <v>21</v>
      </c>
      <c r="D71" s="43"/>
      <c r="E71" s="43"/>
      <c r="F71" s="43"/>
      <c r="G71" s="34"/>
      <c r="H71" s="34"/>
      <c r="I71" s="28"/>
      <c r="J71" s="28"/>
      <c r="K71" s="34"/>
      <c r="L71" s="27"/>
      <c r="M71" s="34">
        <f t="shared" si="2"/>
        <v>0</v>
      </c>
      <c r="N71" s="34"/>
      <c r="O71" s="34"/>
      <c r="P71" s="213"/>
      <c r="Q71" s="87"/>
      <c r="R71" s="72">
        <f t="shared" ref="R71" si="27">Q71/5</f>
        <v>0</v>
      </c>
      <c r="T71" s="165">
        <f>SUM(M44:M71)</f>
        <v>-4.4444444444444509E-2</v>
      </c>
      <c r="U71" s="168">
        <f>T71/20</f>
        <v>-2.2222222222222253E-3</v>
      </c>
    </row>
    <row r="72" spans="2:21" ht="15.75" thickBot="1" x14ac:dyDescent="0.3">
      <c r="B72" s="139">
        <v>43890</v>
      </c>
      <c r="C72" s="42" t="s">
        <v>22</v>
      </c>
      <c r="D72" s="43"/>
      <c r="E72" s="43"/>
      <c r="F72" s="43"/>
      <c r="G72" s="34"/>
      <c r="H72" s="34"/>
      <c r="I72" s="28"/>
      <c r="J72" s="28"/>
      <c r="K72" s="34"/>
      <c r="L72" s="27"/>
      <c r="M72" s="34">
        <f t="shared" si="2"/>
        <v>0</v>
      </c>
      <c r="N72" s="34"/>
      <c r="O72" s="34"/>
      <c r="P72" s="215"/>
      <c r="Q72" s="71"/>
      <c r="R72" s="71"/>
    </row>
    <row r="73" spans="2:21" x14ac:dyDescent="0.25">
      <c r="B73" s="139">
        <v>43891</v>
      </c>
      <c r="C73" s="214" t="s">
        <v>6</v>
      </c>
      <c r="D73" s="137"/>
      <c r="E73" s="137"/>
      <c r="F73" s="137"/>
      <c r="G73" s="169"/>
      <c r="H73" s="169" t="b">
        <f t="shared" ref="H73:H75" si="28">IF(G73&gt;$I$6,G73)</f>
        <v>0</v>
      </c>
      <c r="I73" s="171"/>
      <c r="J73" s="171"/>
      <c r="K73" s="169">
        <f t="shared" si="0"/>
        <v>0</v>
      </c>
      <c r="L73" s="172"/>
      <c r="M73" s="169">
        <f t="shared" si="2"/>
        <v>0</v>
      </c>
      <c r="N73" s="169">
        <f t="shared" si="6"/>
        <v>-0.31875000000000003</v>
      </c>
      <c r="O73" s="169">
        <f>N73</f>
        <v>-0.31875000000000003</v>
      </c>
      <c r="P73" s="213">
        <f t="shared" ref="P73:P136" si="29">N73</f>
        <v>-0.31875000000000003</v>
      </c>
      <c r="Q73" s="71"/>
      <c r="R73" s="71"/>
    </row>
    <row r="74" spans="2:21" ht="15.75" thickBot="1" x14ac:dyDescent="0.3">
      <c r="B74" s="139">
        <v>43892</v>
      </c>
      <c r="C74" s="214" t="s">
        <v>7</v>
      </c>
      <c r="D74" s="137"/>
      <c r="E74" s="137"/>
      <c r="F74" s="137"/>
      <c r="G74" s="169">
        <f t="shared" si="19"/>
        <v>0</v>
      </c>
      <c r="H74" s="169" t="b">
        <f t="shared" si="28"/>
        <v>0</v>
      </c>
      <c r="I74" s="171"/>
      <c r="J74" s="171"/>
      <c r="K74" s="169">
        <f t="shared" si="0"/>
        <v>0</v>
      </c>
      <c r="L74" s="172"/>
      <c r="M74" s="169">
        <f t="shared" si="2"/>
        <v>0</v>
      </c>
      <c r="N74" s="169">
        <f t="shared" si="6"/>
        <v>-0.31875000000000003</v>
      </c>
      <c r="O74" s="169">
        <f>O73+N74</f>
        <v>-0.63750000000000007</v>
      </c>
      <c r="P74" s="215">
        <f t="shared" ref="P74:P137" si="30">P73+N74</f>
        <v>-0.63750000000000007</v>
      </c>
      <c r="Q74" s="87">
        <f>M74</f>
        <v>0</v>
      </c>
      <c r="R74" s="71"/>
    </row>
    <row r="75" spans="2:21" x14ac:dyDescent="0.25">
      <c r="B75" s="139">
        <v>43893</v>
      </c>
      <c r="C75" s="214" t="s">
        <v>23</v>
      </c>
      <c r="D75" s="137"/>
      <c r="E75" s="137"/>
      <c r="F75" s="137"/>
      <c r="G75" s="169">
        <f t="shared" si="19"/>
        <v>0</v>
      </c>
      <c r="H75" s="169" t="b">
        <f t="shared" si="28"/>
        <v>0</v>
      </c>
      <c r="I75" s="171"/>
      <c r="J75" s="171"/>
      <c r="K75" s="169">
        <f t="shared" si="0"/>
        <v>0</v>
      </c>
      <c r="L75" s="172"/>
      <c r="M75" s="169">
        <f t="shared" si="2"/>
        <v>0</v>
      </c>
      <c r="N75" s="169">
        <f t="shared" si="6"/>
        <v>-0.31875000000000003</v>
      </c>
      <c r="O75" s="169">
        <f>O74+N75</f>
        <v>-0.95625000000000004</v>
      </c>
      <c r="P75" s="213">
        <f t="shared" si="30"/>
        <v>-0.95625000000000004</v>
      </c>
      <c r="Q75" s="87">
        <f>M74+M75</f>
        <v>0</v>
      </c>
      <c r="R75" s="71"/>
    </row>
    <row r="76" spans="2:21" ht="15.75" thickBot="1" x14ac:dyDescent="0.3">
      <c r="B76" s="139">
        <v>43894</v>
      </c>
      <c r="C76" s="214" t="s">
        <v>8</v>
      </c>
      <c r="D76" s="137"/>
      <c r="E76" s="137"/>
      <c r="F76" s="137"/>
      <c r="G76" s="169">
        <f t="shared" si="19"/>
        <v>0</v>
      </c>
      <c r="H76" s="169" t="b">
        <f t="shared" si="14"/>
        <v>0</v>
      </c>
      <c r="I76" s="137"/>
      <c r="J76" s="137"/>
      <c r="K76" s="169">
        <f t="shared" si="0"/>
        <v>0</v>
      </c>
      <c r="L76" s="172"/>
      <c r="M76" s="169">
        <f t="shared" si="2"/>
        <v>0</v>
      </c>
      <c r="N76" s="169">
        <f t="shared" si="6"/>
        <v>-0.31875000000000003</v>
      </c>
      <c r="O76" s="169">
        <f>O75+N76</f>
        <v>-1.2750000000000001</v>
      </c>
      <c r="P76" s="215">
        <f t="shared" si="20"/>
        <v>-1.2750000000000001</v>
      </c>
      <c r="Q76" s="87">
        <f>Q75+M76</f>
        <v>0</v>
      </c>
      <c r="R76" s="71"/>
    </row>
    <row r="77" spans="2:21" ht="15.75" thickBot="1" x14ac:dyDescent="0.3">
      <c r="B77" s="139">
        <v>43895</v>
      </c>
      <c r="C77" s="214" t="s">
        <v>9</v>
      </c>
      <c r="D77" s="137"/>
      <c r="E77" s="137"/>
      <c r="F77" s="137"/>
      <c r="G77" s="169">
        <f t="shared" si="19"/>
        <v>0</v>
      </c>
      <c r="H77" s="169" t="b">
        <f t="shared" si="14"/>
        <v>0</v>
      </c>
      <c r="I77" s="171"/>
      <c r="J77" s="171"/>
      <c r="K77" s="169">
        <f t="shared" ref="K77:K140" si="31">J77-I77</f>
        <v>0</v>
      </c>
      <c r="L77" s="172"/>
      <c r="M77" s="169">
        <f t="shared" ref="M77:M140" si="32">(L77-D77)-H77-K77</f>
        <v>0</v>
      </c>
      <c r="N77" s="169">
        <f t="shared" si="6"/>
        <v>-0.31875000000000003</v>
      </c>
      <c r="O77" s="169">
        <f>O76+N77</f>
        <v>-1.5937500000000002</v>
      </c>
      <c r="P77" s="213">
        <f t="shared" si="20"/>
        <v>-1.5937500000000002</v>
      </c>
      <c r="Q77" s="87">
        <f>Q76+M77</f>
        <v>0</v>
      </c>
      <c r="R77" s="71"/>
    </row>
    <row r="78" spans="2:21" x14ac:dyDescent="0.25">
      <c r="B78" s="139">
        <v>43896</v>
      </c>
      <c r="C78" s="42" t="s">
        <v>21</v>
      </c>
      <c r="D78" s="43"/>
      <c r="E78" s="43"/>
      <c r="F78" s="43"/>
      <c r="G78" s="34">
        <f t="shared" si="19"/>
        <v>0</v>
      </c>
      <c r="H78" s="34" t="b">
        <f t="shared" si="14"/>
        <v>0</v>
      </c>
      <c r="I78" s="28"/>
      <c r="J78" s="28"/>
      <c r="K78" s="34">
        <f t="shared" si="31"/>
        <v>0</v>
      </c>
      <c r="L78" s="27"/>
      <c r="M78" s="34">
        <f t="shared" si="32"/>
        <v>0</v>
      </c>
      <c r="N78" s="34">
        <f t="shared" si="6"/>
        <v>-0.31875000000000003</v>
      </c>
      <c r="O78" s="34">
        <f t="shared" si="25"/>
        <v>-1.9125000000000003</v>
      </c>
      <c r="P78" s="213"/>
      <c r="Q78" s="87">
        <f>Q77+M78</f>
        <v>0</v>
      </c>
      <c r="R78" s="72">
        <f t="shared" ref="R78" si="33">Q78/5</f>
        <v>0</v>
      </c>
    </row>
    <row r="79" spans="2:21" ht="15.75" thickBot="1" x14ac:dyDescent="0.3">
      <c r="B79" s="139">
        <v>43897</v>
      </c>
      <c r="C79" s="42" t="s">
        <v>22</v>
      </c>
      <c r="D79" s="43"/>
      <c r="E79" s="43"/>
      <c r="F79" s="43"/>
      <c r="G79" s="34"/>
      <c r="H79" s="34" t="b">
        <f t="shared" si="9"/>
        <v>0</v>
      </c>
      <c r="I79" s="28"/>
      <c r="J79" s="28"/>
      <c r="K79" s="34">
        <f t="shared" si="31"/>
        <v>0</v>
      </c>
      <c r="L79" s="27"/>
      <c r="M79" s="34">
        <f t="shared" si="32"/>
        <v>0</v>
      </c>
      <c r="N79" s="34">
        <f t="shared" si="6"/>
        <v>-0.31875000000000003</v>
      </c>
      <c r="O79" s="34"/>
      <c r="P79" s="215"/>
      <c r="Q79" s="71"/>
      <c r="R79" s="71"/>
    </row>
    <row r="80" spans="2:21" x14ac:dyDescent="0.25">
      <c r="B80" s="139">
        <v>43898</v>
      </c>
      <c r="C80" s="214" t="s">
        <v>6</v>
      </c>
      <c r="D80" s="137"/>
      <c r="E80" s="137"/>
      <c r="F80" s="137"/>
      <c r="G80" s="169"/>
      <c r="H80" s="169" t="b">
        <f t="shared" si="9"/>
        <v>0</v>
      </c>
      <c r="I80" s="171"/>
      <c r="J80" s="171"/>
      <c r="K80" s="169">
        <f t="shared" si="31"/>
        <v>0</v>
      </c>
      <c r="L80" s="172"/>
      <c r="M80" s="169">
        <f t="shared" si="32"/>
        <v>0</v>
      </c>
      <c r="N80" s="169">
        <f t="shared" si="6"/>
        <v>-0.31875000000000003</v>
      </c>
      <c r="O80" s="169">
        <f>N80</f>
        <v>-0.31875000000000003</v>
      </c>
      <c r="P80" s="213">
        <f>P77+N80</f>
        <v>-1.9125000000000003</v>
      </c>
      <c r="Q80" s="71"/>
      <c r="R80" s="71"/>
    </row>
    <row r="81" spans="2:18" ht="15.75" thickBot="1" x14ac:dyDescent="0.3">
      <c r="B81" s="139">
        <v>43899</v>
      </c>
      <c r="C81" s="214" t="s">
        <v>7</v>
      </c>
      <c r="D81" s="137"/>
      <c r="E81" s="137"/>
      <c r="F81" s="137"/>
      <c r="G81" s="169">
        <f t="shared" si="19"/>
        <v>0</v>
      </c>
      <c r="H81" s="169" t="b">
        <f t="shared" si="9"/>
        <v>0</v>
      </c>
      <c r="I81" s="171"/>
      <c r="J81" s="171"/>
      <c r="K81" s="169">
        <f t="shared" si="31"/>
        <v>0</v>
      </c>
      <c r="L81" s="172"/>
      <c r="M81" s="169">
        <f t="shared" si="32"/>
        <v>0</v>
      </c>
      <c r="N81" s="169">
        <f t="shared" si="6"/>
        <v>-0.31875000000000003</v>
      </c>
      <c r="O81" s="169">
        <f>O80+N81</f>
        <v>-0.63750000000000007</v>
      </c>
      <c r="P81" s="215">
        <f t="shared" ref="P81:P144" si="34">P80+N81</f>
        <v>-2.2312500000000002</v>
      </c>
      <c r="Q81" s="87">
        <f>M81</f>
        <v>0</v>
      </c>
      <c r="R81" s="71"/>
    </row>
    <row r="82" spans="2:18" x14ac:dyDescent="0.25">
      <c r="B82" s="139">
        <v>43900</v>
      </c>
      <c r="C82" s="214" t="s">
        <v>23</v>
      </c>
      <c r="D82" s="137"/>
      <c r="E82" s="137"/>
      <c r="F82" s="137"/>
      <c r="G82" s="169">
        <f t="shared" si="19"/>
        <v>0</v>
      </c>
      <c r="H82" s="169" t="b">
        <f t="shared" si="9"/>
        <v>0</v>
      </c>
      <c r="I82" s="171"/>
      <c r="J82" s="171"/>
      <c r="K82" s="169">
        <f t="shared" si="31"/>
        <v>0</v>
      </c>
      <c r="L82" s="172"/>
      <c r="M82" s="169">
        <f t="shared" si="32"/>
        <v>0</v>
      </c>
      <c r="N82" s="169">
        <f t="shared" si="6"/>
        <v>-0.31875000000000003</v>
      </c>
      <c r="O82" s="169">
        <f>O81+N82</f>
        <v>-0.95625000000000004</v>
      </c>
      <c r="P82" s="213">
        <f t="shared" si="34"/>
        <v>-2.5500000000000003</v>
      </c>
      <c r="Q82" s="87">
        <f>M81+M82</f>
        <v>0</v>
      </c>
      <c r="R82" s="71"/>
    </row>
    <row r="83" spans="2:18" ht="15.75" thickBot="1" x14ac:dyDescent="0.3">
      <c r="B83" s="139">
        <v>43901</v>
      </c>
      <c r="C83" s="214" t="s">
        <v>8</v>
      </c>
      <c r="D83" s="137"/>
      <c r="E83" s="137"/>
      <c r="F83" s="137"/>
      <c r="G83" s="169">
        <f t="shared" si="19"/>
        <v>0</v>
      </c>
      <c r="H83" s="169" t="b">
        <f t="shared" ref="H83:H84" si="35">IF(G83&gt;$I$6,G83)</f>
        <v>0</v>
      </c>
      <c r="I83" s="137"/>
      <c r="J83" s="137"/>
      <c r="K83" s="169">
        <f t="shared" si="31"/>
        <v>0</v>
      </c>
      <c r="L83" s="172"/>
      <c r="M83" s="169">
        <f t="shared" si="32"/>
        <v>0</v>
      </c>
      <c r="N83" s="169">
        <f t="shared" si="6"/>
        <v>-0.31875000000000003</v>
      </c>
      <c r="O83" s="169">
        <f>O82+N83</f>
        <v>-1.2750000000000001</v>
      </c>
      <c r="P83" s="215">
        <f t="shared" si="20"/>
        <v>-2.8687500000000004</v>
      </c>
      <c r="Q83" s="87">
        <f>Q82+M83</f>
        <v>0</v>
      </c>
      <c r="R83" s="71"/>
    </row>
    <row r="84" spans="2:18" ht="15.75" thickBot="1" x14ac:dyDescent="0.3">
      <c r="B84" s="139">
        <v>43902</v>
      </c>
      <c r="C84" s="214" t="s">
        <v>9</v>
      </c>
      <c r="D84" s="137"/>
      <c r="E84" s="137"/>
      <c r="F84" s="137"/>
      <c r="G84" s="169">
        <f t="shared" si="19"/>
        <v>0</v>
      </c>
      <c r="H84" s="169" t="b">
        <f t="shared" si="35"/>
        <v>0</v>
      </c>
      <c r="I84" s="171"/>
      <c r="J84" s="171"/>
      <c r="K84" s="169">
        <f t="shared" si="31"/>
        <v>0</v>
      </c>
      <c r="L84" s="172"/>
      <c r="M84" s="169">
        <f t="shared" si="32"/>
        <v>0</v>
      </c>
      <c r="N84" s="169">
        <f t="shared" si="6"/>
        <v>-0.31875000000000003</v>
      </c>
      <c r="O84" s="169">
        <f>O83+N84</f>
        <v>-1.5937500000000002</v>
      </c>
      <c r="P84" s="213">
        <f t="shared" si="20"/>
        <v>-3.1875000000000004</v>
      </c>
      <c r="Q84" s="87">
        <f>Q83+M84</f>
        <v>0</v>
      </c>
      <c r="R84" s="71"/>
    </row>
    <row r="85" spans="2:18" x14ac:dyDescent="0.25">
      <c r="B85" s="139">
        <v>43903</v>
      </c>
      <c r="C85" s="42" t="s">
        <v>21</v>
      </c>
      <c r="D85" s="43"/>
      <c r="E85" s="43"/>
      <c r="F85" s="43"/>
      <c r="G85" s="34"/>
      <c r="H85" s="34"/>
      <c r="I85" s="28"/>
      <c r="J85" s="28"/>
      <c r="K85" s="34"/>
      <c r="L85" s="27"/>
      <c r="M85" s="34">
        <f t="shared" si="32"/>
        <v>0</v>
      </c>
      <c r="N85" s="34"/>
      <c r="O85" s="34"/>
      <c r="P85" s="213"/>
      <c r="Q85" s="87"/>
      <c r="R85" s="72">
        <f t="shared" ref="R85" si="36">Q85/5</f>
        <v>0</v>
      </c>
    </row>
    <row r="86" spans="2:18" ht="15.75" thickBot="1" x14ac:dyDescent="0.3">
      <c r="B86" s="139">
        <v>43904</v>
      </c>
      <c r="C86" s="42" t="s">
        <v>22</v>
      </c>
      <c r="D86" s="43"/>
      <c r="E86" s="43"/>
      <c r="F86" s="43"/>
      <c r="G86" s="34"/>
      <c r="H86" s="34"/>
      <c r="I86" s="28"/>
      <c r="J86" s="28"/>
      <c r="K86" s="34"/>
      <c r="L86" s="27"/>
      <c r="M86" s="34">
        <f t="shared" si="32"/>
        <v>0</v>
      </c>
      <c r="N86" s="34"/>
      <c r="O86" s="34"/>
      <c r="P86" s="215"/>
      <c r="Q86" s="71"/>
      <c r="R86" s="71"/>
    </row>
    <row r="87" spans="2:18" x14ac:dyDescent="0.25">
      <c r="B87" s="139">
        <v>43905</v>
      </c>
      <c r="C87" s="214" t="s">
        <v>6</v>
      </c>
      <c r="D87" s="137"/>
      <c r="E87" s="137"/>
      <c r="F87" s="137"/>
      <c r="G87" s="169"/>
      <c r="H87" s="169" t="b">
        <f t="shared" ref="H87:H147" si="37">IF(G87&gt;$I$6,G87)</f>
        <v>0</v>
      </c>
      <c r="I87" s="171"/>
      <c r="J87" s="171"/>
      <c r="K87" s="169">
        <f t="shared" si="31"/>
        <v>0</v>
      </c>
      <c r="L87" s="172"/>
      <c r="M87" s="169">
        <f t="shared" si="32"/>
        <v>0</v>
      </c>
      <c r="N87" s="169">
        <f t="shared" ref="N87:N150" si="38">M87-$D$6</f>
        <v>-0.31875000000000003</v>
      </c>
      <c r="O87" s="169">
        <f>N87</f>
        <v>-0.31875000000000003</v>
      </c>
      <c r="P87" s="213">
        <f>P84+N87</f>
        <v>-3.5062500000000005</v>
      </c>
      <c r="Q87" s="71"/>
      <c r="R87" s="71"/>
    </row>
    <row r="88" spans="2:18" ht="15.75" thickBot="1" x14ac:dyDescent="0.3">
      <c r="B88" s="139">
        <v>43906</v>
      </c>
      <c r="C88" s="214" t="s">
        <v>7</v>
      </c>
      <c r="D88" s="137"/>
      <c r="E88" s="137"/>
      <c r="F88" s="137"/>
      <c r="G88" s="169">
        <f t="shared" si="19"/>
        <v>0</v>
      </c>
      <c r="H88" s="169" t="b">
        <f t="shared" si="37"/>
        <v>0</v>
      </c>
      <c r="I88" s="171"/>
      <c r="J88" s="171"/>
      <c r="K88" s="169">
        <f t="shared" si="31"/>
        <v>0</v>
      </c>
      <c r="L88" s="172"/>
      <c r="M88" s="169">
        <f t="shared" si="32"/>
        <v>0</v>
      </c>
      <c r="N88" s="169">
        <f t="shared" si="38"/>
        <v>-0.31875000000000003</v>
      </c>
      <c r="O88" s="169">
        <f>O87+N88</f>
        <v>-0.63750000000000007</v>
      </c>
      <c r="P88" s="215">
        <f t="shared" ref="P88:P151" si="39">P87+N88</f>
        <v>-3.8250000000000006</v>
      </c>
      <c r="Q88" s="87">
        <f>M88</f>
        <v>0</v>
      </c>
      <c r="R88" s="71"/>
    </row>
    <row r="89" spans="2:18" x14ac:dyDescent="0.25">
      <c r="B89" s="139">
        <v>43907</v>
      </c>
      <c r="C89" s="214" t="s">
        <v>23</v>
      </c>
      <c r="D89" s="137"/>
      <c r="E89" s="137"/>
      <c r="F89" s="137"/>
      <c r="G89" s="169">
        <f t="shared" si="19"/>
        <v>0</v>
      </c>
      <c r="H89" s="169" t="b">
        <f t="shared" ref="H89:H152" si="40">IF(G89&gt;$I$6,G89-$I$6)</f>
        <v>0</v>
      </c>
      <c r="I89" s="171"/>
      <c r="J89" s="171"/>
      <c r="K89" s="169">
        <f t="shared" si="31"/>
        <v>0</v>
      </c>
      <c r="L89" s="172"/>
      <c r="M89" s="169">
        <f t="shared" si="32"/>
        <v>0</v>
      </c>
      <c r="N89" s="169">
        <f t="shared" si="38"/>
        <v>-0.31875000000000003</v>
      </c>
      <c r="O89" s="169">
        <f>O88+N89</f>
        <v>-0.95625000000000004</v>
      </c>
      <c r="P89" s="213">
        <f t="shared" si="39"/>
        <v>-4.1437500000000007</v>
      </c>
      <c r="Q89" s="87">
        <f>M88+M89</f>
        <v>0</v>
      </c>
      <c r="R89" s="71"/>
    </row>
    <row r="90" spans="2:18" ht="15.75" thickBot="1" x14ac:dyDescent="0.3">
      <c r="B90" s="139">
        <v>43908</v>
      </c>
      <c r="C90" s="214" t="s">
        <v>8</v>
      </c>
      <c r="D90" s="137"/>
      <c r="E90" s="137"/>
      <c r="F90" s="137"/>
      <c r="G90" s="169">
        <f t="shared" si="19"/>
        <v>0</v>
      </c>
      <c r="H90" s="169" t="b">
        <f t="shared" si="40"/>
        <v>0</v>
      </c>
      <c r="I90" s="137"/>
      <c r="J90" s="137"/>
      <c r="K90" s="169">
        <f t="shared" si="31"/>
        <v>0</v>
      </c>
      <c r="L90" s="172"/>
      <c r="M90" s="169">
        <f t="shared" si="32"/>
        <v>0</v>
      </c>
      <c r="N90" s="169">
        <f t="shared" si="38"/>
        <v>-0.31875000000000003</v>
      </c>
      <c r="O90" s="169">
        <f>O89+N90</f>
        <v>-1.2750000000000001</v>
      </c>
      <c r="P90" s="215">
        <f t="shared" si="20"/>
        <v>-4.4625000000000004</v>
      </c>
      <c r="Q90" s="87">
        <f>Q89+M90</f>
        <v>0</v>
      </c>
      <c r="R90" s="71"/>
    </row>
    <row r="91" spans="2:18" ht="15.75" thickBot="1" x14ac:dyDescent="0.3">
      <c r="B91" s="139">
        <v>43909</v>
      </c>
      <c r="C91" s="214" t="s">
        <v>9</v>
      </c>
      <c r="D91" s="137"/>
      <c r="E91" s="137"/>
      <c r="F91" s="137"/>
      <c r="G91" s="169">
        <f t="shared" si="19"/>
        <v>0</v>
      </c>
      <c r="H91" s="169" t="b">
        <f t="shared" si="40"/>
        <v>0</v>
      </c>
      <c r="I91" s="171"/>
      <c r="J91" s="171"/>
      <c r="K91" s="169">
        <f t="shared" si="31"/>
        <v>0</v>
      </c>
      <c r="L91" s="172"/>
      <c r="M91" s="169">
        <f t="shared" si="32"/>
        <v>0</v>
      </c>
      <c r="N91" s="169">
        <f t="shared" si="38"/>
        <v>-0.31875000000000003</v>
      </c>
      <c r="O91" s="169">
        <f>O90+N91</f>
        <v>-1.5937500000000002</v>
      </c>
      <c r="P91" s="213">
        <f t="shared" si="20"/>
        <v>-4.78125</v>
      </c>
      <c r="Q91" s="87">
        <f>Q90+M91</f>
        <v>0</v>
      </c>
      <c r="R91" s="71"/>
    </row>
    <row r="92" spans="2:18" x14ac:dyDescent="0.25">
      <c r="B92" s="139">
        <v>43910</v>
      </c>
      <c r="C92" s="42" t="s">
        <v>21</v>
      </c>
      <c r="D92" s="43"/>
      <c r="E92" s="43"/>
      <c r="F92" s="43"/>
      <c r="G92" s="34"/>
      <c r="H92" s="34"/>
      <c r="I92" s="28"/>
      <c r="J92" s="28"/>
      <c r="K92" s="34"/>
      <c r="L92" s="27"/>
      <c r="M92" s="34">
        <f t="shared" si="32"/>
        <v>0</v>
      </c>
      <c r="N92" s="34"/>
      <c r="O92" s="34"/>
      <c r="P92" s="213"/>
      <c r="Q92" s="87"/>
      <c r="R92" s="72">
        <f>Q92/5</f>
        <v>0</v>
      </c>
    </row>
    <row r="93" spans="2:18" ht="15.75" thickBot="1" x14ac:dyDescent="0.3">
      <c r="B93" s="139">
        <v>43911</v>
      </c>
      <c r="C93" s="42" t="s">
        <v>22</v>
      </c>
      <c r="D93" s="43"/>
      <c r="E93" s="43"/>
      <c r="F93" s="43"/>
      <c r="G93" s="34"/>
      <c r="H93" s="34"/>
      <c r="I93" s="28"/>
      <c r="J93" s="28"/>
      <c r="K93" s="34"/>
      <c r="L93" s="27"/>
      <c r="M93" s="34">
        <f t="shared" si="32"/>
        <v>0</v>
      </c>
      <c r="N93" s="34"/>
      <c r="O93" s="34"/>
      <c r="P93" s="215"/>
      <c r="Q93" s="71"/>
      <c r="R93" s="71"/>
    </row>
    <row r="94" spans="2:18" x14ac:dyDescent="0.25">
      <c r="B94" s="139">
        <v>43912</v>
      </c>
      <c r="C94" s="214" t="s">
        <v>6</v>
      </c>
      <c r="D94" s="137"/>
      <c r="E94" s="137"/>
      <c r="F94" s="137"/>
      <c r="G94" s="169"/>
      <c r="H94" s="169" t="b">
        <f t="shared" ref="H94:H95" si="41">IF(G94&gt;$I$6,G94)</f>
        <v>0</v>
      </c>
      <c r="I94" s="171"/>
      <c r="J94" s="171"/>
      <c r="K94" s="169">
        <f t="shared" si="31"/>
        <v>0</v>
      </c>
      <c r="L94" s="172"/>
      <c r="M94" s="169">
        <f t="shared" si="32"/>
        <v>0</v>
      </c>
      <c r="N94" s="169">
        <f t="shared" si="38"/>
        <v>-0.31875000000000003</v>
      </c>
      <c r="O94" s="169">
        <f>N94</f>
        <v>-0.31875000000000003</v>
      </c>
      <c r="P94" s="213">
        <f>N94</f>
        <v>-0.31875000000000003</v>
      </c>
      <c r="Q94" s="71"/>
      <c r="R94" s="71"/>
    </row>
    <row r="95" spans="2:18" ht="15.75" thickBot="1" x14ac:dyDescent="0.3">
      <c r="B95" s="139">
        <v>43913</v>
      </c>
      <c r="C95" s="214" t="s">
        <v>7</v>
      </c>
      <c r="D95" s="137"/>
      <c r="E95" s="137"/>
      <c r="F95" s="137"/>
      <c r="G95" s="169">
        <f t="shared" si="19"/>
        <v>0</v>
      </c>
      <c r="H95" s="169" t="b">
        <f t="shared" si="41"/>
        <v>0</v>
      </c>
      <c r="I95" s="171"/>
      <c r="J95" s="171"/>
      <c r="K95" s="169">
        <f t="shared" si="31"/>
        <v>0</v>
      </c>
      <c r="L95" s="172"/>
      <c r="M95" s="169">
        <f t="shared" si="32"/>
        <v>0</v>
      </c>
      <c r="N95" s="169">
        <f t="shared" si="38"/>
        <v>-0.31875000000000003</v>
      </c>
      <c r="O95" s="169">
        <f>O94+N95</f>
        <v>-0.63750000000000007</v>
      </c>
      <c r="P95" s="215">
        <f>P91+N94</f>
        <v>-5.0999999999999996</v>
      </c>
      <c r="Q95" s="87">
        <f>M95</f>
        <v>0</v>
      </c>
      <c r="R95" s="71"/>
    </row>
    <row r="96" spans="2:18" x14ac:dyDescent="0.25">
      <c r="B96" s="139">
        <v>43914</v>
      </c>
      <c r="C96" s="214" t="s">
        <v>23</v>
      </c>
      <c r="D96" s="137"/>
      <c r="E96" s="137"/>
      <c r="F96" s="137"/>
      <c r="G96" s="169">
        <f t="shared" si="19"/>
        <v>0</v>
      </c>
      <c r="H96" s="169" t="b">
        <f t="shared" si="37"/>
        <v>0</v>
      </c>
      <c r="I96" s="171"/>
      <c r="J96" s="171"/>
      <c r="K96" s="169">
        <f t="shared" si="31"/>
        <v>0</v>
      </c>
      <c r="L96" s="172"/>
      <c r="M96" s="169">
        <f t="shared" si="32"/>
        <v>0</v>
      </c>
      <c r="N96" s="169">
        <f t="shared" si="38"/>
        <v>-0.31875000000000003</v>
      </c>
      <c r="O96" s="169">
        <f>O95+N96</f>
        <v>-0.95625000000000004</v>
      </c>
      <c r="P96" s="213">
        <f t="shared" ref="P95:P158" si="42">P95+N96</f>
        <v>-5.4187499999999993</v>
      </c>
      <c r="Q96" s="87">
        <f>M95+M96</f>
        <v>0</v>
      </c>
      <c r="R96" s="71"/>
    </row>
    <row r="97" spans="2:21" ht="15.75" thickBot="1" x14ac:dyDescent="0.3">
      <c r="B97" s="139">
        <v>43915</v>
      </c>
      <c r="C97" s="214" t="s">
        <v>8</v>
      </c>
      <c r="D97" s="137"/>
      <c r="E97" s="137"/>
      <c r="F97" s="137"/>
      <c r="G97" s="169">
        <f t="shared" si="19"/>
        <v>0</v>
      </c>
      <c r="H97" s="169" t="b">
        <f t="shared" si="37"/>
        <v>0</v>
      </c>
      <c r="I97" s="137"/>
      <c r="J97" s="137"/>
      <c r="K97" s="169">
        <f t="shared" si="31"/>
        <v>0</v>
      </c>
      <c r="L97" s="172"/>
      <c r="M97" s="169">
        <f t="shared" si="32"/>
        <v>0</v>
      </c>
      <c r="N97" s="169">
        <f t="shared" si="38"/>
        <v>-0.31875000000000003</v>
      </c>
      <c r="O97" s="169">
        <f>O96+N97</f>
        <v>-1.2750000000000001</v>
      </c>
      <c r="P97" s="215">
        <f t="shared" si="20"/>
        <v>-5.7374999999999989</v>
      </c>
      <c r="Q97" s="87">
        <f>Q96+M97</f>
        <v>0</v>
      </c>
      <c r="R97" s="71"/>
    </row>
    <row r="98" spans="2:21" ht="15.75" thickBot="1" x14ac:dyDescent="0.3">
      <c r="B98" s="139">
        <v>43916</v>
      </c>
      <c r="C98" s="214" t="s">
        <v>9</v>
      </c>
      <c r="D98" s="137"/>
      <c r="E98" s="137"/>
      <c r="F98" s="137"/>
      <c r="G98" s="169">
        <f t="shared" si="19"/>
        <v>0</v>
      </c>
      <c r="H98" s="169" t="b">
        <f t="shared" si="37"/>
        <v>0</v>
      </c>
      <c r="I98" s="171"/>
      <c r="J98" s="171"/>
      <c r="K98" s="169">
        <f t="shared" si="31"/>
        <v>0</v>
      </c>
      <c r="L98" s="172"/>
      <c r="M98" s="169">
        <f t="shared" si="32"/>
        <v>0</v>
      </c>
      <c r="N98" s="169">
        <f t="shared" si="38"/>
        <v>-0.31875000000000003</v>
      </c>
      <c r="O98" s="169">
        <f>O97+N98</f>
        <v>-1.5937500000000002</v>
      </c>
      <c r="P98" s="213">
        <f t="shared" si="20"/>
        <v>-6.0562499999999986</v>
      </c>
      <c r="Q98" s="87">
        <f>Q97+M98</f>
        <v>0</v>
      </c>
      <c r="R98" s="71"/>
    </row>
    <row r="99" spans="2:21" x14ac:dyDescent="0.25">
      <c r="B99" s="139">
        <v>43917</v>
      </c>
      <c r="C99" s="42" t="s">
        <v>21</v>
      </c>
      <c r="D99" s="43"/>
      <c r="E99" s="43"/>
      <c r="F99" s="43"/>
      <c r="G99" s="34"/>
      <c r="H99" s="34"/>
      <c r="I99" s="28"/>
      <c r="J99" s="28"/>
      <c r="K99" s="34"/>
      <c r="L99" s="27"/>
      <c r="M99" s="34">
        <f t="shared" si="32"/>
        <v>0</v>
      </c>
      <c r="N99" s="34"/>
      <c r="O99" s="34"/>
      <c r="P99" s="213"/>
      <c r="Q99" s="87"/>
      <c r="R99" s="72">
        <f t="shared" ref="R99" si="43">Q99/5</f>
        <v>0</v>
      </c>
    </row>
    <row r="100" spans="2:21" ht="15.75" thickBot="1" x14ac:dyDescent="0.3">
      <c r="B100" s="139">
        <v>43918</v>
      </c>
      <c r="C100" s="42" t="s">
        <v>22</v>
      </c>
      <c r="D100" s="43"/>
      <c r="E100" s="43"/>
      <c r="F100" s="43"/>
      <c r="G100" s="34"/>
      <c r="H100" s="34"/>
      <c r="I100" s="28"/>
      <c r="J100" s="28"/>
      <c r="K100" s="34"/>
      <c r="L100" s="27"/>
      <c r="M100" s="34">
        <f t="shared" si="32"/>
        <v>0</v>
      </c>
      <c r="N100" s="34"/>
      <c r="O100" s="34"/>
      <c r="P100" s="215"/>
      <c r="Q100" s="71"/>
      <c r="R100" s="71"/>
    </row>
    <row r="101" spans="2:21" x14ac:dyDescent="0.25">
      <c r="B101" s="139">
        <v>43919</v>
      </c>
      <c r="C101" s="214" t="s">
        <v>6</v>
      </c>
      <c r="D101" s="137"/>
      <c r="E101" s="137"/>
      <c r="F101" s="137"/>
      <c r="G101" s="169"/>
      <c r="H101" s="169" t="b">
        <f t="shared" si="40"/>
        <v>0</v>
      </c>
      <c r="I101" s="171"/>
      <c r="J101" s="171"/>
      <c r="K101" s="169">
        <f t="shared" si="31"/>
        <v>0</v>
      </c>
      <c r="L101" s="172"/>
      <c r="M101" s="169">
        <f t="shared" si="32"/>
        <v>0</v>
      </c>
      <c r="N101" s="169">
        <f t="shared" si="38"/>
        <v>-0.31875000000000003</v>
      </c>
      <c r="O101" s="169">
        <f>N101</f>
        <v>-0.31875000000000003</v>
      </c>
      <c r="P101" s="213">
        <f>P98+N101</f>
        <v>-6.3749999999999982</v>
      </c>
      <c r="Q101" s="71"/>
      <c r="R101" s="71"/>
      <c r="T101" s="166" t="s">
        <v>61</v>
      </c>
    </row>
    <row r="102" spans="2:21" ht="15.75" thickBot="1" x14ac:dyDescent="0.3">
      <c r="B102" s="139">
        <v>43920</v>
      </c>
      <c r="C102" s="214" t="s">
        <v>7</v>
      </c>
      <c r="D102" s="137"/>
      <c r="E102" s="137"/>
      <c r="F102" s="137"/>
      <c r="G102" s="169">
        <f t="shared" si="19"/>
        <v>0</v>
      </c>
      <c r="H102" s="169" t="b">
        <f t="shared" si="40"/>
        <v>0</v>
      </c>
      <c r="I102" s="171"/>
      <c r="J102" s="171"/>
      <c r="K102" s="169">
        <f t="shared" si="31"/>
        <v>0</v>
      </c>
      <c r="L102" s="172"/>
      <c r="M102" s="169">
        <f t="shared" si="32"/>
        <v>0</v>
      </c>
      <c r="N102" s="169">
        <f t="shared" si="38"/>
        <v>-0.31875000000000003</v>
      </c>
      <c r="O102" s="169">
        <f>O101+N102</f>
        <v>-0.63750000000000007</v>
      </c>
      <c r="P102" s="215">
        <f>N102</f>
        <v>-0.31875000000000003</v>
      </c>
      <c r="Q102" s="87">
        <f>M102</f>
        <v>0</v>
      </c>
      <c r="R102" s="71"/>
      <c r="T102" s="165">
        <f>SUM(M72:M102)</f>
        <v>0</v>
      </c>
      <c r="U102" s="168">
        <f>T102/21</f>
        <v>0</v>
      </c>
    </row>
    <row r="103" spans="2:21" x14ac:dyDescent="0.25">
      <c r="B103" s="139">
        <v>43921</v>
      </c>
      <c r="C103" s="214" t="s">
        <v>23</v>
      </c>
      <c r="D103" s="137"/>
      <c r="E103" s="137"/>
      <c r="F103" s="137"/>
      <c r="G103" s="169">
        <f t="shared" si="19"/>
        <v>0</v>
      </c>
      <c r="H103" s="169" t="b">
        <f t="shared" ref="H103:H105" si="44">IF(G103&gt;$I$6,G103)</f>
        <v>0</v>
      </c>
      <c r="I103" s="171"/>
      <c r="J103" s="171"/>
      <c r="K103" s="169">
        <f t="shared" si="31"/>
        <v>0</v>
      </c>
      <c r="L103" s="172"/>
      <c r="M103" s="169">
        <f t="shared" si="32"/>
        <v>0</v>
      </c>
      <c r="N103" s="169">
        <f t="shared" si="38"/>
        <v>-0.31875000000000003</v>
      </c>
      <c r="O103" s="169">
        <f>O102+N103</f>
        <v>-0.95625000000000004</v>
      </c>
      <c r="P103" s="213">
        <f t="shared" ref="P102:P165" si="45">P102+N103</f>
        <v>-0.63750000000000007</v>
      </c>
      <c r="Q103" s="87">
        <f>M102+M103</f>
        <v>0</v>
      </c>
      <c r="R103" s="71"/>
    </row>
    <row r="104" spans="2:21" ht="15.75" thickBot="1" x14ac:dyDescent="0.3">
      <c r="B104" s="139">
        <v>43922</v>
      </c>
      <c r="C104" s="214" t="s">
        <v>8</v>
      </c>
      <c r="D104" s="137"/>
      <c r="E104" s="137"/>
      <c r="F104" s="137"/>
      <c r="G104" s="169">
        <f t="shared" si="19"/>
        <v>0</v>
      </c>
      <c r="H104" s="169" t="b">
        <f t="shared" si="44"/>
        <v>0</v>
      </c>
      <c r="I104" s="137"/>
      <c r="J104" s="137"/>
      <c r="K104" s="169">
        <f t="shared" si="31"/>
        <v>0</v>
      </c>
      <c r="L104" s="172"/>
      <c r="M104" s="169">
        <f t="shared" si="32"/>
        <v>0</v>
      </c>
      <c r="N104" s="169">
        <f t="shared" si="38"/>
        <v>-0.31875000000000003</v>
      </c>
      <c r="O104" s="169">
        <f>O103+N104</f>
        <v>-1.2750000000000001</v>
      </c>
      <c r="P104" s="215">
        <f t="shared" si="20"/>
        <v>-0.95625000000000004</v>
      </c>
      <c r="Q104" s="87">
        <f>Q103+M104</f>
        <v>0</v>
      </c>
      <c r="R104" s="71"/>
    </row>
    <row r="105" spans="2:21" ht="15.75" thickBot="1" x14ac:dyDescent="0.3">
      <c r="B105" s="139">
        <v>43923</v>
      </c>
      <c r="C105" s="214" t="s">
        <v>9</v>
      </c>
      <c r="D105" s="137"/>
      <c r="E105" s="137"/>
      <c r="F105" s="137"/>
      <c r="G105" s="169">
        <f t="shared" si="19"/>
        <v>0</v>
      </c>
      <c r="H105" s="169" t="b">
        <f t="shared" si="44"/>
        <v>0</v>
      </c>
      <c r="I105" s="171"/>
      <c r="J105" s="171"/>
      <c r="K105" s="169">
        <f t="shared" si="31"/>
        <v>0</v>
      </c>
      <c r="L105" s="172"/>
      <c r="M105" s="169">
        <f t="shared" si="32"/>
        <v>0</v>
      </c>
      <c r="N105" s="169">
        <f t="shared" si="38"/>
        <v>-0.31875000000000003</v>
      </c>
      <c r="O105" s="169">
        <f>O104+N105</f>
        <v>-1.5937500000000002</v>
      </c>
      <c r="P105" s="213">
        <f t="shared" si="20"/>
        <v>-1.2750000000000001</v>
      </c>
      <c r="Q105" s="87">
        <f>Q104+M105</f>
        <v>0</v>
      </c>
      <c r="R105" s="71"/>
    </row>
    <row r="106" spans="2:21" x14ac:dyDescent="0.25">
      <c r="B106" s="139">
        <v>43924</v>
      </c>
      <c r="C106" s="42" t="s">
        <v>21</v>
      </c>
      <c r="D106" s="43"/>
      <c r="E106" s="43"/>
      <c r="F106" s="43"/>
      <c r="G106" s="34"/>
      <c r="H106" s="34"/>
      <c r="I106" s="28"/>
      <c r="J106" s="28"/>
      <c r="K106" s="34"/>
      <c r="L106" s="27"/>
      <c r="M106" s="34">
        <f t="shared" si="32"/>
        <v>0</v>
      </c>
      <c r="N106" s="34"/>
      <c r="O106" s="34"/>
      <c r="P106" s="213"/>
      <c r="Q106" s="87"/>
      <c r="R106" s="72">
        <f t="shared" ref="R106" si="46">Q106/5</f>
        <v>0</v>
      </c>
    </row>
    <row r="107" spans="2:21" ht="15.75" thickBot="1" x14ac:dyDescent="0.3">
      <c r="B107" s="139">
        <v>43925</v>
      </c>
      <c r="C107" s="42" t="s">
        <v>22</v>
      </c>
      <c r="D107" s="43"/>
      <c r="E107" s="43"/>
      <c r="F107" s="43"/>
      <c r="G107" s="34"/>
      <c r="H107" s="34"/>
      <c r="I107" s="28"/>
      <c r="J107" s="28"/>
      <c r="K107" s="34"/>
      <c r="L107" s="27"/>
      <c r="M107" s="34">
        <f t="shared" si="32"/>
        <v>0</v>
      </c>
      <c r="N107" s="34"/>
      <c r="O107" s="34"/>
      <c r="P107" s="215"/>
      <c r="Q107" s="71"/>
      <c r="R107" s="71"/>
    </row>
    <row r="108" spans="2:21" x14ac:dyDescent="0.25">
      <c r="B108" s="139">
        <v>43926</v>
      </c>
      <c r="C108" s="214" t="s">
        <v>6</v>
      </c>
      <c r="D108" s="137"/>
      <c r="E108" s="137"/>
      <c r="F108" s="137"/>
      <c r="G108" s="169"/>
      <c r="H108" s="169" t="b">
        <f t="shared" si="37"/>
        <v>0</v>
      </c>
      <c r="I108" s="171"/>
      <c r="J108" s="171"/>
      <c r="K108" s="169">
        <f t="shared" si="31"/>
        <v>0</v>
      </c>
      <c r="L108" s="172"/>
      <c r="M108" s="169">
        <f t="shared" si="32"/>
        <v>0</v>
      </c>
      <c r="N108" s="169">
        <f t="shared" si="38"/>
        <v>-0.31875000000000003</v>
      </c>
      <c r="O108" s="169">
        <f>N108</f>
        <v>-0.31875000000000003</v>
      </c>
      <c r="P108" s="213">
        <f>P105+N108</f>
        <v>-1.5937500000000002</v>
      </c>
      <c r="Q108" s="71"/>
      <c r="R108" s="71"/>
    </row>
    <row r="109" spans="2:21" ht="15.75" thickBot="1" x14ac:dyDescent="0.3">
      <c r="B109" s="139">
        <v>43927</v>
      </c>
      <c r="C109" s="214" t="s">
        <v>7</v>
      </c>
      <c r="D109" s="137"/>
      <c r="E109" s="137"/>
      <c r="F109" s="137"/>
      <c r="G109" s="169">
        <f t="shared" si="19"/>
        <v>0</v>
      </c>
      <c r="H109" s="169" t="b">
        <f t="shared" si="40"/>
        <v>0</v>
      </c>
      <c r="I109" s="171"/>
      <c r="J109" s="171"/>
      <c r="K109" s="169">
        <f t="shared" si="31"/>
        <v>0</v>
      </c>
      <c r="L109" s="172"/>
      <c r="M109" s="169">
        <f t="shared" si="32"/>
        <v>0</v>
      </c>
      <c r="N109" s="169">
        <f t="shared" si="38"/>
        <v>-0.31875000000000003</v>
      </c>
      <c r="O109" s="169">
        <f>O108+N109</f>
        <v>-0.63750000000000007</v>
      </c>
      <c r="P109" s="215">
        <f t="shared" ref="P109:P172" si="47">P108+N109</f>
        <v>-1.9125000000000003</v>
      </c>
      <c r="Q109" s="87">
        <f>M109</f>
        <v>0</v>
      </c>
      <c r="R109" s="71"/>
    </row>
    <row r="110" spans="2:21" x14ac:dyDescent="0.25">
      <c r="B110" s="139">
        <v>43928</v>
      </c>
      <c r="C110" s="214" t="s">
        <v>23</v>
      </c>
      <c r="D110" s="137"/>
      <c r="E110" s="137"/>
      <c r="F110" s="137"/>
      <c r="G110" s="169">
        <f t="shared" ref="G110:G112" si="48">F110-E110</f>
        <v>0</v>
      </c>
      <c r="H110" s="169" t="b">
        <f t="shared" si="40"/>
        <v>0</v>
      </c>
      <c r="I110" s="171"/>
      <c r="J110" s="171"/>
      <c r="K110" s="169">
        <f t="shared" si="31"/>
        <v>0</v>
      </c>
      <c r="L110" s="172"/>
      <c r="M110" s="169">
        <f t="shared" si="32"/>
        <v>0</v>
      </c>
      <c r="N110" s="169">
        <f t="shared" si="38"/>
        <v>-0.31875000000000003</v>
      </c>
      <c r="O110" s="169">
        <f>O109+N110</f>
        <v>-0.95625000000000004</v>
      </c>
      <c r="P110" s="213">
        <f t="shared" si="47"/>
        <v>-2.2312500000000002</v>
      </c>
      <c r="Q110" s="87">
        <f>M109+M110</f>
        <v>0</v>
      </c>
      <c r="R110" s="71"/>
    </row>
    <row r="111" spans="2:21" ht="15.75" thickBot="1" x14ac:dyDescent="0.3">
      <c r="B111" s="139">
        <v>43929</v>
      </c>
      <c r="C111" s="214" t="s">
        <v>8</v>
      </c>
      <c r="D111" s="137"/>
      <c r="E111" s="137"/>
      <c r="F111" s="137"/>
      <c r="G111" s="169">
        <f t="shared" si="48"/>
        <v>0</v>
      </c>
      <c r="H111" s="169" t="b">
        <f t="shared" si="40"/>
        <v>0</v>
      </c>
      <c r="I111" s="137"/>
      <c r="J111" s="137"/>
      <c r="K111" s="169">
        <f t="shared" si="31"/>
        <v>0</v>
      </c>
      <c r="L111" s="172"/>
      <c r="M111" s="169">
        <f t="shared" si="32"/>
        <v>0</v>
      </c>
      <c r="N111" s="169">
        <f t="shared" si="38"/>
        <v>-0.31875000000000003</v>
      </c>
      <c r="O111" s="169">
        <f>O110+N111</f>
        <v>-1.2750000000000001</v>
      </c>
      <c r="P111" s="215">
        <f t="shared" si="47"/>
        <v>-2.5500000000000003</v>
      </c>
      <c r="Q111" s="87">
        <f>Q110+M111</f>
        <v>0</v>
      </c>
      <c r="R111" s="71"/>
    </row>
    <row r="112" spans="2:21" ht="15.75" thickBot="1" x14ac:dyDescent="0.3">
      <c r="B112" s="139">
        <v>43930</v>
      </c>
      <c r="C112" s="214" t="s">
        <v>9</v>
      </c>
      <c r="D112" s="137"/>
      <c r="E112" s="137"/>
      <c r="F112" s="137"/>
      <c r="G112" s="169">
        <f t="shared" si="48"/>
        <v>0</v>
      </c>
      <c r="H112" s="169" t="b">
        <f t="shared" si="40"/>
        <v>0</v>
      </c>
      <c r="I112" s="171"/>
      <c r="J112" s="171"/>
      <c r="K112" s="169">
        <f t="shared" si="31"/>
        <v>0</v>
      </c>
      <c r="L112" s="172"/>
      <c r="M112" s="169">
        <f t="shared" si="32"/>
        <v>0</v>
      </c>
      <c r="N112" s="169">
        <f t="shared" si="38"/>
        <v>-0.31875000000000003</v>
      </c>
      <c r="O112" s="169">
        <f>O111+N112</f>
        <v>-1.5937500000000002</v>
      </c>
      <c r="P112" s="213">
        <f t="shared" si="47"/>
        <v>-2.8687500000000004</v>
      </c>
      <c r="Q112" s="87">
        <f>Q111+M112</f>
        <v>0</v>
      </c>
      <c r="R112" s="71"/>
    </row>
    <row r="113" spans="2:19" x14ac:dyDescent="0.25">
      <c r="B113" s="139">
        <v>43931</v>
      </c>
      <c r="C113" s="42" t="s">
        <v>21</v>
      </c>
      <c r="D113" s="43"/>
      <c r="E113" s="43"/>
      <c r="F113" s="43"/>
      <c r="G113" s="34"/>
      <c r="H113" s="34"/>
      <c r="I113" s="28"/>
      <c r="J113" s="28"/>
      <c r="K113" s="34"/>
      <c r="L113" s="27"/>
      <c r="M113" s="34">
        <f t="shared" si="32"/>
        <v>0</v>
      </c>
      <c r="N113" s="34"/>
      <c r="O113" s="34"/>
      <c r="P113" s="213"/>
      <c r="Q113" s="87"/>
      <c r="R113" s="72">
        <f>Q113/5</f>
        <v>0</v>
      </c>
    </row>
    <row r="114" spans="2:19" ht="15.75" thickBot="1" x14ac:dyDescent="0.3">
      <c r="B114" s="139">
        <v>43932</v>
      </c>
      <c r="C114" s="42" t="s">
        <v>22</v>
      </c>
      <c r="D114" s="43"/>
      <c r="E114" s="43"/>
      <c r="F114" s="43"/>
      <c r="G114" s="34"/>
      <c r="H114" s="34"/>
      <c r="I114" s="28"/>
      <c r="J114" s="28"/>
      <c r="K114" s="34"/>
      <c r="L114" s="27"/>
      <c r="M114" s="34">
        <f t="shared" si="32"/>
        <v>0</v>
      </c>
      <c r="N114" s="34"/>
      <c r="O114" s="34"/>
      <c r="P114" s="215"/>
      <c r="Q114" s="71"/>
      <c r="R114" s="71"/>
    </row>
    <row r="115" spans="2:19" x14ac:dyDescent="0.25">
      <c r="B115" s="139">
        <v>43933</v>
      </c>
      <c r="C115" s="214" t="s">
        <v>6</v>
      </c>
      <c r="D115" s="137"/>
      <c r="E115" s="137"/>
      <c r="F115" s="137"/>
      <c r="G115" s="169"/>
      <c r="H115" s="169" t="b">
        <f t="shared" ref="H115" si="49">IF(G115&gt;$I$6,G115)</f>
        <v>0</v>
      </c>
      <c r="I115" s="171"/>
      <c r="J115" s="171"/>
      <c r="K115" s="169">
        <f t="shared" si="31"/>
        <v>0</v>
      </c>
      <c r="L115" s="172"/>
      <c r="M115" s="169">
        <f t="shared" si="32"/>
        <v>0</v>
      </c>
      <c r="N115" s="169">
        <f t="shared" si="38"/>
        <v>-0.31875000000000003</v>
      </c>
      <c r="O115" s="169">
        <f>N115</f>
        <v>-0.31875000000000003</v>
      </c>
      <c r="P115" s="213">
        <f>P112+N115</f>
        <v>-3.1875000000000004</v>
      </c>
      <c r="Q115" s="71"/>
      <c r="R115" s="71"/>
    </row>
    <row r="116" spans="2:19" ht="15.75" thickBot="1" x14ac:dyDescent="0.3">
      <c r="B116" s="139">
        <v>43934</v>
      </c>
      <c r="C116" s="214" t="s">
        <v>7</v>
      </c>
      <c r="D116" s="137"/>
      <c r="E116" s="137"/>
      <c r="F116" s="137"/>
      <c r="G116" s="169">
        <f t="shared" ref="G116:G161" si="50">F116-E116</f>
        <v>0</v>
      </c>
      <c r="H116" s="169" t="b">
        <f t="shared" si="37"/>
        <v>0</v>
      </c>
      <c r="I116" s="171"/>
      <c r="J116" s="171"/>
      <c r="K116" s="169">
        <f t="shared" si="31"/>
        <v>0</v>
      </c>
      <c r="L116" s="172"/>
      <c r="M116" s="169">
        <f t="shared" si="32"/>
        <v>0</v>
      </c>
      <c r="N116" s="169">
        <f t="shared" si="38"/>
        <v>-0.31875000000000003</v>
      </c>
      <c r="O116" s="169">
        <f>O115+N116</f>
        <v>-0.63750000000000007</v>
      </c>
      <c r="P116" s="215">
        <f t="shared" ref="P116:P179" si="51">P115+N116</f>
        <v>-3.5062500000000005</v>
      </c>
      <c r="Q116" s="71"/>
      <c r="R116" s="71"/>
    </row>
    <row r="117" spans="2:19" x14ac:dyDescent="0.25">
      <c r="B117" s="139">
        <v>43935</v>
      </c>
      <c r="C117" s="214" t="s">
        <v>23</v>
      </c>
      <c r="D117" s="137"/>
      <c r="E117" s="137"/>
      <c r="F117" s="137"/>
      <c r="G117" s="169">
        <f t="shared" si="50"/>
        <v>0</v>
      </c>
      <c r="H117" s="169" t="b">
        <f t="shared" si="37"/>
        <v>0</v>
      </c>
      <c r="I117" s="171"/>
      <c r="J117" s="171"/>
      <c r="K117" s="169">
        <f t="shared" si="31"/>
        <v>0</v>
      </c>
      <c r="L117" s="172"/>
      <c r="M117" s="169">
        <f t="shared" si="32"/>
        <v>0</v>
      </c>
      <c r="N117" s="169">
        <f t="shared" si="38"/>
        <v>-0.31875000000000003</v>
      </c>
      <c r="O117" s="169">
        <f>O116+N117</f>
        <v>-0.95625000000000004</v>
      </c>
      <c r="P117" s="213">
        <f t="shared" si="51"/>
        <v>-3.8250000000000006</v>
      </c>
      <c r="Q117" s="71"/>
      <c r="R117" s="71"/>
      <c r="S117" t="s">
        <v>60</v>
      </c>
    </row>
    <row r="118" spans="2:19" ht="15.75" thickBot="1" x14ac:dyDescent="0.3">
      <c r="B118" s="139">
        <v>43936</v>
      </c>
      <c r="C118" s="214" t="s">
        <v>8</v>
      </c>
      <c r="D118" s="137"/>
      <c r="E118" s="137"/>
      <c r="F118" s="137"/>
      <c r="G118" s="169">
        <f t="shared" si="50"/>
        <v>0</v>
      </c>
      <c r="H118" s="169" t="b">
        <f t="shared" si="37"/>
        <v>0</v>
      </c>
      <c r="I118" s="137"/>
      <c r="J118" s="137"/>
      <c r="K118" s="169">
        <f t="shared" si="31"/>
        <v>0</v>
      </c>
      <c r="L118" s="172"/>
      <c r="M118" s="169">
        <f t="shared" si="32"/>
        <v>0</v>
      </c>
      <c r="N118" s="169">
        <f t="shared" si="38"/>
        <v>-0.31875000000000003</v>
      </c>
      <c r="O118" s="169">
        <f>O117+N118</f>
        <v>-1.2750000000000001</v>
      </c>
      <c r="P118" s="215">
        <f t="shared" si="47"/>
        <v>-4.1437500000000007</v>
      </c>
      <c r="Q118" s="71"/>
      <c r="R118" s="71"/>
    </row>
    <row r="119" spans="2:19" ht="15.75" thickBot="1" x14ac:dyDescent="0.3">
      <c r="B119" s="139">
        <v>43937</v>
      </c>
      <c r="C119" s="214" t="s">
        <v>9</v>
      </c>
      <c r="D119" s="137"/>
      <c r="E119" s="137"/>
      <c r="F119" s="137"/>
      <c r="G119" s="169">
        <f t="shared" si="50"/>
        <v>0</v>
      </c>
      <c r="H119" s="169" t="b">
        <f t="shared" si="40"/>
        <v>0</v>
      </c>
      <c r="I119" s="171"/>
      <c r="J119" s="171"/>
      <c r="K119" s="169">
        <f t="shared" si="31"/>
        <v>0</v>
      </c>
      <c r="L119" s="172"/>
      <c r="M119" s="169">
        <f t="shared" si="32"/>
        <v>0</v>
      </c>
      <c r="N119" s="169">
        <f t="shared" si="38"/>
        <v>-0.31875000000000003</v>
      </c>
      <c r="O119" s="169">
        <f>O118+N119</f>
        <v>-1.5937500000000002</v>
      </c>
      <c r="P119" s="213">
        <f t="shared" si="47"/>
        <v>-4.4625000000000004</v>
      </c>
      <c r="Q119" s="71"/>
      <c r="R119" s="71"/>
    </row>
    <row r="120" spans="2:19" x14ac:dyDescent="0.25">
      <c r="B120" s="139">
        <v>43938</v>
      </c>
      <c r="C120" s="42" t="s">
        <v>21</v>
      </c>
      <c r="D120" s="43"/>
      <c r="E120" s="43"/>
      <c r="F120" s="43"/>
      <c r="G120" s="34"/>
      <c r="H120" s="34"/>
      <c r="I120" s="28"/>
      <c r="J120" s="28"/>
      <c r="K120" s="34"/>
      <c r="L120" s="27"/>
      <c r="M120" s="34">
        <f t="shared" si="32"/>
        <v>0</v>
      </c>
      <c r="N120" s="34"/>
      <c r="O120" s="34"/>
      <c r="P120" s="213"/>
      <c r="Q120" s="72"/>
      <c r="R120" s="72">
        <f>Q120/5</f>
        <v>0</v>
      </c>
    </row>
    <row r="121" spans="2:19" ht="15.75" thickBot="1" x14ac:dyDescent="0.3">
      <c r="B121" s="139">
        <v>43939</v>
      </c>
      <c r="C121" s="42" t="s">
        <v>22</v>
      </c>
      <c r="D121" s="43"/>
      <c r="E121" s="43"/>
      <c r="F121" s="43"/>
      <c r="G121" s="34"/>
      <c r="H121" s="34"/>
      <c r="I121" s="28"/>
      <c r="J121" s="28"/>
      <c r="K121" s="34"/>
      <c r="L121" s="27"/>
      <c r="M121" s="34">
        <f t="shared" si="32"/>
        <v>0</v>
      </c>
      <c r="N121" s="34"/>
      <c r="O121" s="34"/>
      <c r="P121" s="215"/>
      <c r="Q121" s="71"/>
      <c r="R121" s="71"/>
    </row>
    <row r="122" spans="2:19" x14ac:dyDescent="0.25">
      <c r="B122" s="139">
        <v>43940</v>
      </c>
      <c r="C122" s="214" t="s">
        <v>6</v>
      </c>
      <c r="D122" s="137"/>
      <c r="E122" s="137"/>
      <c r="F122" s="137"/>
      <c r="G122" s="169"/>
      <c r="H122" s="169" t="b">
        <f t="shared" si="40"/>
        <v>0</v>
      </c>
      <c r="I122" s="171"/>
      <c r="J122" s="171"/>
      <c r="K122" s="169">
        <f t="shared" si="31"/>
        <v>0</v>
      </c>
      <c r="L122" s="172"/>
      <c r="M122" s="169">
        <f t="shared" si="32"/>
        <v>0</v>
      </c>
      <c r="N122" s="169">
        <f t="shared" si="38"/>
        <v>-0.31875000000000003</v>
      </c>
      <c r="O122" s="169">
        <f>N122</f>
        <v>-0.31875000000000003</v>
      </c>
      <c r="P122" s="213">
        <f>P119+N122</f>
        <v>-4.78125</v>
      </c>
      <c r="Q122" s="71"/>
      <c r="R122" s="71"/>
    </row>
    <row r="123" spans="2:19" ht="15.75" thickBot="1" x14ac:dyDescent="0.3">
      <c r="B123" s="139">
        <v>43941</v>
      </c>
      <c r="C123" s="214" t="s">
        <v>7</v>
      </c>
      <c r="D123" s="137"/>
      <c r="E123" s="137"/>
      <c r="F123" s="137"/>
      <c r="G123" s="169">
        <f t="shared" si="50"/>
        <v>0</v>
      </c>
      <c r="H123" s="169" t="b">
        <f t="shared" ref="H123:H125" si="52">IF(G123&gt;$I$6,G123)</f>
        <v>0</v>
      </c>
      <c r="I123" s="171"/>
      <c r="J123" s="171"/>
      <c r="K123" s="169">
        <f t="shared" si="31"/>
        <v>0</v>
      </c>
      <c r="L123" s="172"/>
      <c r="M123" s="169">
        <f t="shared" si="32"/>
        <v>0</v>
      </c>
      <c r="N123" s="169">
        <f t="shared" si="38"/>
        <v>-0.31875000000000003</v>
      </c>
      <c r="O123" s="169">
        <f>O122+N123</f>
        <v>-0.63750000000000007</v>
      </c>
      <c r="P123" s="215">
        <f t="shared" ref="P123:P186" si="53">P122+N123</f>
        <v>-5.0999999999999996</v>
      </c>
      <c r="Q123" s="71"/>
      <c r="R123" s="71"/>
    </row>
    <row r="124" spans="2:19" x14ac:dyDescent="0.25">
      <c r="B124" s="139">
        <v>43942</v>
      </c>
      <c r="C124" s="214" t="s">
        <v>23</v>
      </c>
      <c r="D124" s="137"/>
      <c r="E124" s="137"/>
      <c r="F124" s="137"/>
      <c r="G124" s="169">
        <f t="shared" si="50"/>
        <v>0</v>
      </c>
      <c r="H124" s="169" t="b">
        <f t="shared" si="52"/>
        <v>0</v>
      </c>
      <c r="I124" s="171"/>
      <c r="J124" s="171"/>
      <c r="K124" s="169">
        <f t="shared" si="31"/>
        <v>0</v>
      </c>
      <c r="L124" s="172"/>
      <c r="M124" s="169">
        <f t="shared" si="32"/>
        <v>0</v>
      </c>
      <c r="N124" s="169">
        <f t="shared" si="38"/>
        <v>-0.31875000000000003</v>
      </c>
      <c r="O124" s="169">
        <f>O123+N124</f>
        <v>-0.95625000000000004</v>
      </c>
      <c r="P124" s="213">
        <f t="shared" si="53"/>
        <v>-5.4187499999999993</v>
      </c>
      <c r="Q124" s="71"/>
      <c r="R124" s="71"/>
    </row>
    <row r="125" spans="2:19" ht="15.75" thickBot="1" x14ac:dyDescent="0.3">
      <c r="B125" s="139">
        <v>43943</v>
      </c>
      <c r="C125" s="214" t="s">
        <v>8</v>
      </c>
      <c r="D125" s="137"/>
      <c r="E125" s="137"/>
      <c r="F125" s="137"/>
      <c r="G125" s="169">
        <f t="shared" si="50"/>
        <v>0</v>
      </c>
      <c r="H125" s="169" t="b">
        <f t="shared" si="52"/>
        <v>0</v>
      </c>
      <c r="I125" s="137"/>
      <c r="J125" s="137"/>
      <c r="K125" s="169">
        <f t="shared" si="31"/>
        <v>0</v>
      </c>
      <c r="L125" s="172"/>
      <c r="M125" s="169">
        <f t="shared" si="32"/>
        <v>0</v>
      </c>
      <c r="N125" s="169">
        <f t="shared" si="38"/>
        <v>-0.31875000000000003</v>
      </c>
      <c r="O125" s="169">
        <f>O124+N125</f>
        <v>-1.2750000000000001</v>
      </c>
      <c r="P125" s="215">
        <f t="shared" si="47"/>
        <v>-5.7374999999999989</v>
      </c>
      <c r="Q125" s="71"/>
      <c r="R125" s="71"/>
    </row>
    <row r="126" spans="2:19" ht="15.75" thickBot="1" x14ac:dyDescent="0.3">
      <c r="B126" s="139">
        <v>43944</v>
      </c>
      <c r="C126" s="214" t="s">
        <v>9</v>
      </c>
      <c r="D126" s="137"/>
      <c r="E126" s="137"/>
      <c r="F126" s="137"/>
      <c r="G126" s="169">
        <f t="shared" si="50"/>
        <v>0</v>
      </c>
      <c r="H126" s="169" t="b">
        <f t="shared" si="37"/>
        <v>0</v>
      </c>
      <c r="I126" s="171"/>
      <c r="J126" s="171"/>
      <c r="K126" s="169">
        <f t="shared" si="31"/>
        <v>0</v>
      </c>
      <c r="L126" s="172"/>
      <c r="M126" s="169">
        <f t="shared" si="32"/>
        <v>0</v>
      </c>
      <c r="N126" s="169">
        <f t="shared" si="38"/>
        <v>-0.31875000000000003</v>
      </c>
      <c r="O126" s="169">
        <f>O125+N126</f>
        <v>-1.5937500000000002</v>
      </c>
      <c r="P126" s="213">
        <f t="shared" si="47"/>
        <v>-6.0562499999999986</v>
      </c>
      <c r="Q126" s="71"/>
      <c r="R126" s="71"/>
    </row>
    <row r="127" spans="2:19" x14ac:dyDescent="0.25">
      <c r="B127" s="139">
        <v>43945</v>
      </c>
      <c r="C127" s="42" t="s">
        <v>21</v>
      </c>
      <c r="D127" s="43"/>
      <c r="E127" s="43"/>
      <c r="F127" s="43"/>
      <c r="G127" s="34"/>
      <c r="H127" s="34"/>
      <c r="I127" s="28"/>
      <c r="J127" s="28"/>
      <c r="K127" s="34"/>
      <c r="L127" s="27"/>
      <c r="M127" s="34">
        <f t="shared" si="32"/>
        <v>0</v>
      </c>
      <c r="N127" s="34"/>
      <c r="O127" s="34"/>
      <c r="P127" s="213"/>
      <c r="Q127" s="72"/>
      <c r="R127" s="72">
        <f t="shared" ref="R127" si="54">Q127/5</f>
        <v>0</v>
      </c>
      <c r="S127" s="72"/>
    </row>
    <row r="128" spans="2:19" ht="15.75" thickBot="1" x14ac:dyDescent="0.3">
      <c r="B128" s="139">
        <v>43946</v>
      </c>
      <c r="C128" s="42" t="s">
        <v>22</v>
      </c>
      <c r="D128" s="43"/>
      <c r="E128" s="43"/>
      <c r="F128" s="43"/>
      <c r="G128" s="34"/>
      <c r="H128" s="34"/>
      <c r="I128" s="28"/>
      <c r="J128" s="28"/>
      <c r="K128" s="34"/>
      <c r="L128" s="27"/>
      <c r="M128" s="34">
        <f t="shared" si="32"/>
        <v>0</v>
      </c>
      <c r="N128" s="34"/>
      <c r="O128" s="34"/>
      <c r="P128" s="215"/>
      <c r="Q128" s="71"/>
      <c r="R128" s="71"/>
    </row>
    <row r="129" spans="2:21" x14ac:dyDescent="0.25">
      <c r="B129" s="139">
        <v>43947</v>
      </c>
      <c r="C129" s="214" t="s">
        <v>6</v>
      </c>
      <c r="D129" s="137"/>
      <c r="E129" s="137"/>
      <c r="F129" s="137"/>
      <c r="G129" s="169"/>
      <c r="H129" s="169" t="b">
        <f t="shared" si="40"/>
        <v>0</v>
      </c>
      <c r="I129" s="171"/>
      <c r="J129" s="171"/>
      <c r="K129" s="169">
        <f t="shared" si="31"/>
        <v>0</v>
      </c>
      <c r="L129" s="172"/>
      <c r="M129" s="169">
        <f t="shared" si="32"/>
        <v>0</v>
      </c>
      <c r="N129" s="169">
        <f t="shared" si="38"/>
        <v>-0.31875000000000003</v>
      </c>
      <c r="O129" s="169">
        <f>N129</f>
        <v>-0.31875000000000003</v>
      </c>
      <c r="P129" s="213">
        <f>P126+N129</f>
        <v>-6.3749999999999982</v>
      </c>
      <c r="Q129" s="71"/>
      <c r="R129" s="71"/>
    </row>
    <row r="130" spans="2:21" ht="15.75" thickBot="1" x14ac:dyDescent="0.3">
      <c r="B130" s="139">
        <v>43948</v>
      </c>
      <c r="C130" s="214" t="s">
        <v>7</v>
      </c>
      <c r="D130" s="137"/>
      <c r="E130" s="137"/>
      <c r="F130" s="137"/>
      <c r="G130" s="169">
        <f t="shared" si="50"/>
        <v>0</v>
      </c>
      <c r="H130" s="169" t="b">
        <f t="shared" si="40"/>
        <v>0</v>
      </c>
      <c r="I130" s="171"/>
      <c r="J130" s="171"/>
      <c r="K130" s="169">
        <f t="shared" si="31"/>
        <v>0</v>
      </c>
      <c r="L130" s="172"/>
      <c r="M130" s="169">
        <f t="shared" si="32"/>
        <v>0</v>
      </c>
      <c r="N130" s="169">
        <f t="shared" si="38"/>
        <v>-0.31875000000000003</v>
      </c>
      <c r="O130" s="169">
        <f>O129+N130</f>
        <v>-0.63750000000000007</v>
      </c>
      <c r="P130" s="215">
        <f t="shared" ref="P130:P193" si="55">P129+N130</f>
        <v>-6.6937499999999979</v>
      </c>
      <c r="Q130" s="71"/>
      <c r="R130" s="71"/>
      <c r="S130" s="58"/>
    </row>
    <row r="131" spans="2:21" x14ac:dyDescent="0.25">
      <c r="B131" s="139">
        <v>43949</v>
      </c>
      <c r="C131" s="214" t="s">
        <v>23</v>
      </c>
      <c r="D131" s="137"/>
      <c r="E131" s="137"/>
      <c r="F131" s="137"/>
      <c r="G131" s="169">
        <f t="shared" si="50"/>
        <v>0</v>
      </c>
      <c r="H131" s="169" t="b">
        <f t="shared" si="40"/>
        <v>0</v>
      </c>
      <c r="I131" s="171"/>
      <c r="J131" s="171"/>
      <c r="K131" s="169">
        <f t="shared" si="31"/>
        <v>0</v>
      </c>
      <c r="L131" s="172"/>
      <c r="M131" s="169">
        <f t="shared" si="32"/>
        <v>0</v>
      </c>
      <c r="N131" s="169">
        <f t="shared" si="38"/>
        <v>-0.31875000000000003</v>
      </c>
      <c r="O131" s="169">
        <f>O130+N131</f>
        <v>-0.95625000000000004</v>
      </c>
      <c r="P131" s="213">
        <f t="shared" si="55"/>
        <v>-7.0124999999999975</v>
      </c>
      <c r="Q131" s="71"/>
      <c r="R131" s="71"/>
      <c r="S131" s="33"/>
      <c r="T131" s="166" t="s">
        <v>61</v>
      </c>
      <c r="U131" s="58" t="s">
        <v>62</v>
      </c>
    </row>
    <row r="132" spans="2:21" ht="15.75" thickBot="1" x14ac:dyDescent="0.3">
      <c r="B132" s="139">
        <v>43950</v>
      </c>
      <c r="C132" s="214" t="s">
        <v>8</v>
      </c>
      <c r="D132" s="137"/>
      <c r="E132" s="137"/>
      <c r="F132" s="137"/>
      <c r="G132" s="169">
        <f t="shared" si="50"/>
        <v>0</v>
      </c>
      <c r="H132" s="169" t="b">
        <f t="shared" si="40"/>
        <v>0</v>
      </c>
      <c r="I132" s="137"/>
      <c r="J132" s="137"/>
      <c r="K132" s="169">
        <f t="shared" si="31"/>
        <v>0</v>
      </c>
      <c r="L132" s="172"/>
      <c r="M132" s="169">
        <f t="shared" si="32"/>
        <v>0</v>
      </c>
      <c r="N132" s="169">
        <f t="shared" si="38"/>
        <v>-0.31875000000000003</v>
      </c>
      <c r="O132" s="169">
        <f>O131+N132</f>
        <v>-1.2750000000000001</v>
      </c>
      <c r="P132" s="215">
        <f t="shared" si="47"/>
        <v>-7.3312499999999972</v>
      </c>
      <c r="Q132" s="72">
        <f t="shared" ref="Q132" si="56">SUM(M128:M132)</f>
        <v>0</v>
      </c>
      <c r="R132" s="71"/>
      <c r="T132" s="165">
        <f>SUM(M103:M132)</f>
        <v>0</v>
      </c>
      <c r="U132" s="165">
        <f>T132/17</f>
        <v>0</v>
      </c>
    </row>
    <row r="133" spans="2:21" ht="15.75" thickBot="1" x14ac:dyDescent="0.3">
      <c r="B133" s="139">
        <v>43951</v>
      </c>
      <c r="C133" s="214" t="s">
        <v>9</v>
      </c>
      <c r="D133" s="137"/>
      <c r="E133" s="137"/>
      <c r="F133" s="137"/>
      <c r="G133" s="169">
        <f t="shared" si="50"/>
        <v>0</v>
      </c>
      <c r="H133" s="169" t="b">
        <f t="shared" ref="H133:H135" si="57">IF(G133&gt;$I$6,G133)</f>
        <v>0</v>
      </c>
      <c r="I133" s="171"/>
      <c r="J133" s="171"/>
      <c r="K133" s="169">
        <f t="shared" si="31"/>
        <v>0</v>
      </c>
      <c r="L133" s="172"/>
      <c r="M133" s="169">
        <f t="shared" si="32"/>
        <v>0</v>
      </c>
      <c r="N133" s="169">
        <f t="shared" si="38"/>
        <v>-0.31875000000000003</v>
      </c>
      <c r="O133" s="169">
        <f>O132+N133</f>
        <v>-1.5937500000000002</v>
      </c>
      <c r="P133" s="213">
        <f>N133</f>
        <v>-0.31875000000000003</v>
      </c>
      <c r="Q133" s="72"/>
      <c r="R133" s="71"/>
      <c r="S133" t="s">
        <v>67</v>
      </c>
    </row>
    <row r="134" spans="2:21" x14ac:dyDescent="0.25">
      <c r="B134" s="139">
        <v>43952</v>
      </c>
      <c r="C134" s="42" t="s">
        <v>21</v>
      </c>
      <c r="D134" s="43"/>
      <c r="E134" s="43"/>
      <c r="F134" s="43"/>
      <c r="G134" s="34">
        <f t="shared" si="50"/>
        <v>0</v>
      </c>
      <c r="H134" s="34" t="b">
        <f t="shared" si="57"/>
        <v>0</v>
      </c>
      <c r="I134" s="28"/>
      <c r="J134" s="28"/>
      <c r="K134" s="34">
        <f t="shared" si="31"/>
        <v>0</v>
      </c>
      <c r="L134" s="27"/>
      <c r="M134" s="34">
        <f t="shared" si="32"/>
        <v>0</v>
      </c>
      <c r="N134" s="34">
        <f t="shared" si="38"/>
        <v>-0.31875000000000003</v>
      </c>
      <c r="O134" s="34"/>
      <c r="P134" s="213"/>
      <c r="Q134" s="72">
        <f>SUM(M130:M134)</f>
        <v>0</v>
      </c>
      <c r="R134" s="72">
        <f>Q134/5</f>
        <v>0</v>
      </c>
    </row>
    <row r="135" spans="2:21" ht="15.75" thickBot="1" x14ac:dyDescent="0.3">
      <c r="B135" s="139">
        <v>43953</v>
      </c>
      <c r="C135" s="42" t="s">
        <v>22</v>
      </c>
      <c r="D135" s="43"/>
      <c r="E135" s="43"/>
      <c r="F135" s="43"/>
      <c r="G135" s="34"/>
      <c r="H135" s="34" t="b">
        <f t="shared" si="57"/>
        <v>0</v>
      </c>
      <c r="I135" s="28"/>
      <c r="J135" s="28"/>
      <c r="K135" s="34">
        <f t="shared" si="31"/>
        <v>0</v>
      </c>
      <c r="L135" s="27"/>
      <c r="M135" s="34">
        <f t="shared" si="32"/>
        <v>0</v>
      </c>
      <c r="N135" s="34">
        <f t="shared" si="38"/>
        <v>-0.31875000000000003</v>
      </c>
      <c r="O135" s="34"/>
      <c r="P135" s="215"/>
      <c r="Q135" s="71"/>
      <c r="R135" s="71"/>
    </row>
    <row r="136" spans="2:21" x14ac:dyDescent="0.25">
      <c r="B136" s="139">
        <v>43954</v>
      </c>
      <c r="C136" s="214" t="s">
        <v>6</v>
      </c>
      <c r="D136" s="137"/>
      <c r="E136" s="137"/>
      <c r="F136" s="137"/>
      <c r="G136" s="169"/>
      <c r="H136" s="169" t="b">
        <f t="shared" si="37"/>
        <v>0</v>
      </c>
      <c r="I136" s="171"/>
      <c r="J136" s="171"/>
      <c r="K136" s="169">
        <f t="shared" si="31"/>
        <v>0</v>
      </c>
      <c r="L136" s="172"/>
      <c r="M136" s="169">
        <f t="shared" si="32"/>
        <v>0</v>
      </c>
      <c r="N136" s="169">
        <f t="shared" si="38"/>
        <v>-0.31875000000000003</v>
      </c>
      <c r="O136" s="169">
        <f>N136</f>
        <v>-0.31875000000000003</v>
      </c>
      <c r="P136" s="213">
        <f>P133+N136</f>
        <v>-0.63750000000000007</v>
      </c>
      <c r="Q136" s="71"/>
      <c r="R136" s="71"/>
    </row>
    <row r="137" spans="2:21" ht="15.75" thickBot="1" x14ac:dyDescent="0.3">
      <c r="B137" s="139">
        <v>43955</v>
      </c>
      <c r="C137" s="214" t="s">
        <v>7</v>
      </c>
      <c r="D137" s="137"/>
      <c r="E137" s="137"/>
      <c r="F137" s="137"/>
      <c r="G137" s="169">
        <f t="shared" si="50"/>
        <v>0</v>
      </c>
      <c r="H137" s="169" t="b">
        <f t="shared" si="37"/>
        <v>0</v>
      </c>
      <c r="I137" s="171"/>
      <c r="J137" s="171"/>
      <c r="K137" s="169">
        <f t="shared" si="31"/>
        <v>0</v>
      </c>
      <c r="L137" s="172"/>
      <c r="M137" s="169">
        <f t="shared" si="32"/>
        <v>0</v>
      </c>
      <c r="N137" s="169">
        <f t="shared" si="38"/>
        <v>-0.31875000000000003</v>
      </c>
      <c r="O137" s="169">
        <f>O136+N137</f>
        <v>-0.63750000000000007</v>
      </c>
      <c r="P137" s="215">
        <f t="shared" ref="P137:P200" si="58">P136+N137</f>
        <v>-0.95625000000000004</v>
      </c>
      <c r="Q137" s="71"/>
      <c r="R137" s="71"/>
    </row>
    <row r="138" spans="2:21" x14ac:dyDescent="0.25">
      <c r="B138" s="139">
        <v>43956</v>
      </c>
      <c r="C138" s="214" t="s">
        <v>23</v>
      </c>
      <c r="D138" s="137"/>
      <c r="E138" s="137"/>
      <c r="F138" s="137"/>
      <c r="G138" s="169">
        <f t="shared" si="50"/>
        <v>0</v>
      </c>
      <c r="H138" s="169" t="b">
        <f t="shared" si="37"/>
        <v>0</v>
      </c>
      <c r="I138" s="171"/>
      <c r="J138" s="171"/>
      <c r="K138" s="169">
        <f t="shared" si="31"/>
        <v>0</v>
      </c>
      <c r="L138" s="172"/>
      <c r="M138" s="169">
        <f t="shared" si="32"/>
        <v>0</v>
      </c>
      <c r="N138" s="169">
        <f t="shared" si="38"/>
        <v>-0.31875000000000003</v>
      </c>
      <c r="O138" s="169">
        <f>O137+N138</f>
        <v>-0.95625000000000004</v>
      </c>
      <c r="P138" s="213">
        <f t="shared" si="58"/>
        <v>-1.2750000000000001</v>
      </c>
      <c r="Q138" s="71"/>
      <c r="R138" s="71"/>
    </row>
    <row r="139" spans="2:21" ht="15.75" thickBot="1" x14ac:dyDescent="0.3">
      <c r="B139" s="139">
        <v>43957</v>
      </c>
      <c r="C139" s="214" t="s">
        <v>8</v>
      </c>
      <c r="D139" s="137"/>
      <c r="E139" s="137"/>
      <c r="F139" s="137"/>
      <c r="G139" s="169">
        <f t="shared" si="50"/>
        <v>0</v>
      </c>
      <c r="H139" s="169" t="b">
        <f t="shared" si="40"/>
        <v>0</v>
      </c>
      <c r="I139" s="137"/>
      <c r="J139" s="137"/>
      <c r="K139" s="169">
        <f t="shared" si="31"/>
        <v>0</v>
      </c>
      <c r="L139" s="172"/>
      <c r="M139" s="169">
        <f t="shared" si="32"/>
        <v>0</v>
      </c>
      <c r="N139" s="169">
        <f t="shared" si="38"/>
        <v>-0.31875000000000003</v>
      </c>
      <c r="O139" s="169">
        <f>O138+N139</f>
        <v>-1.2750000000000001</v>
      </c>
      <c r="P139" s="215">
        <f t="shared" si="47"/>
        <v>-1.5937500000000002</v>
      </c>
      <c r="Q139" s="71"/>
      <c r="R139" s="71"/>
    </row>
    <row r="140" spans="2:21" ht="15.75" thickBot="1" x14ac:dyDescent="0.3">
      <c r="B140" s="139">
        <v>43958</v>
      </c>
      <c r="C140" s="214" t="s">
        <v>9</v>
      </c>
      <c r="D140" s="137"/>
      <c r="E140" s="137"/>
      <c r="F140" s="137"/>
      <c r="G140" s="169">
        <f t="shared" si="50"/>
        <v>0</v>
      </c>
      <c r="H140" s="169" t="b">
        <f t="shared" si="40"/>
        <v>0</v>
      </c>
      <c r="I140" s="171"/>
      <c r="J140" s="171"/>
      <c r="K140" s="169">
        <f t="shared" si="31"/>
        <v>0</v>
      </c>
      <c r="L140" s="172"/>
      <c r="M140" s="169">
        <f t="shared" si="32"/>
        <v>0</v>
      </c>
      <c r="N140" s="169">
        <f t="shared" si="38"/>
        <v>-0.31875000000000003</v>
      </c>
      <c r="O140" s="169">
        <f>O139+N140</f>
        <v>-1.5937500000000002</v>
      </c>
      <c r="P140" s="213">
        <f t="shared" si="47"/>
        <v>-1.9125000000000003</v>
      </c>
      <c r="Q140" s="71"/>
      <c r="R140" s="71"/>
    </row>
    <row r="141" spans="2:21" x14ac:dyDescent="0.25">
      <c r="B141" s="139">
        <v>43959</v>
      </c>
      <c r="C141" s="42" t="s">
        <v>21</v>
      </c>
      <c r="D141" s="43"/>
      <c r="E141" s="43"/>
      <c r="F141" s="43"/>
      <c r="G141" s="34"/>
      <c r="H141" s="34"/>
      <c r="I141" s="28"/>
      <c r="J141" s="28"/>
      <c r="K141" s="34"/>
      <c r="L141" s="27"/>
      <c r="M141" s="34">
        <f t="shared" ref="M141:M204" si="59">(L141-D141)-H141-K141</f>
        <v>0</v>
      </c>
      <c r="N141" s="34"/>
      <c r="O141" s="34"/>
      <c r="P141" s="213"/>
      <c r="Q141" s="72"/>
      <c r="R141" s="72">
        <f t="shared" ref="R141" si="60">Q141/5</f>
        <v>0</v>
      </c>
    </row>
    <row r="142" spans="2:21" ht="15.75" thickBot="1" x14ac:dyDescent="0.3">
      <c r="B142" s="139">
        <v>43960</v>
      </c>
      <c r="C142" s="42" t="s">
        <v>22</v>
      </c>
      <c r="D142" s="43"/>
      <c r="E142" s="43"/>
      <c r="F142" s="43"/>
      <c r="G142" s="34"/>
      <c r="H142" s="34"/>
      <c r="I142" s="28"/>
      <c r="J142" s="28"/>
      <c r="K142" s="34"/>
      <c r="L142" s="27"/>
      <c r="M142" s="34">
        <f t="shared" si="59"/>
        <v>0</v>
      </c>
      <c r="N142" s="34"/>
      <c r="O142" s="34"/>
      <c r="P142" s="215"/>
      <c r="Q142" s="71"/>
      <c r="R142" s="71"/>
    </row>
    <row r="143" spans="2:21" x14ac:dyDescent="0.25">
      <c r="B143" s="139">
        <v>43961</v>
      </c>
      <c r="C143" s="214" t="s">
        <v>6</v>
      </c>
      <c r="D143" s="137"/>
      <c r="E143" s="137"/>
      <c r="F143" s="137"/>
      <c r="G143" s="169"/>
      <c r="H143" s="169" t="b">
        <f t="shared" ref="H143:H145" si="61">IF(G143&gt;$I$6,G143)</f>
        <v>0</v>
      </c>
      <c r="I143" s="171"/>
      <c r="J143" s="171"/>
      <c r="K143" s="169">
        <f t="shared" ref="K143:K203" si="62">J143-I143</f>
        <v>0</v>
      </c>
      <c r="L143" s="172"/>
      <c r="M143" s="169">
        <f t="shared" si="59"/>
        <v>0</v>
      </c>
      <c r="N143" s="169">
        <f t="shared" si="38"/>
        <v>-0.31875000000000003</v>
      </c>
      <c r="O143" s="169">
        <f>N143</f>
        <v>-0.31875000000000003</v>
      </c>
      <c r="P143" s="213">
        <f>P140+N143</f>
        <v>-2.2312500000000002</v>
      </c>
      <c r="Q143" s="71"/>
      <c r="R143" s="71"/>
    </row>
    <row r="144" spans="2:21" ht="15.75" thickBot="1" x14ac:dyDescent="0.3">
      <c r="B144" s="139">
        <v>43962</v>
      </c>
      <c r="C144" s="214" t="s">
        <v>7</v>
      </c>
      <c r="D144" s="137"/>
      <c r="E144" s="137"/>
      <c r="F144" s="137"/>
      <c r="G144" s="169">
        <f t="shared" si="50"/>
        <v>0</v>
      </c>
      <c r="H144" s="169" t="b">
        <f t="shared" si="61"/>
        <v>0</v>
      </c>
      <c r="I144" s="171"/>
      <c r="J144" s="171"/>
      <c r="K144" s="169">
        <f t="shared" si="62"/>
        <v>0</v>
      </c>
      <c r="L144" s="172"/>
      <c r="M144" s="169">
        <f t="shared" si="59"/>
        <v>0</v>
      </c>
      <c r="N144" s="169">
        <f t="shared" si="38"/>
        <v>-0.31875000000000003</v>
      </c>
      <c r="O144" s="169">
        <f>O143+N144</f>
        <v>-0.63750000000000007</v>
      </c>
      <c r="P144" s="215">
        <f t="shared" ref="P144:P207" si="63">P143+N144</f>
        <v>-2.5500000000000003</v>
      </c>
      <c r="Q144" s="71"/>
      <c r="R144" s="71"/>
    </row>
    <row r="145" spans="2:18" x14ac:dyDescent="0.25">
      <c r="B145" s="139">
        <v>43963</v>
      </c>
      <c r="C145" s="214" t="s">
        <v>23</v>
      </c>
      <c r="D145" s="137"/>
      <c r="E145" s="137"/>
      <c r="F145" s="137"/>
      <c r="G145" s="169">
        <f t="shared" si="50"/>
        <v>0</v>
      </c>
      <c r="H145" s="169" t="b">
        <f t="shared" si="61"/>
        <v>0</v>
      </c>
      <c r="I145" s="171"/>
      <c r="J145" s="171"/>
      <c r="K145" s="169">
        <f t="shared" si="62"/>
        <v>0</v>
      </c>
      <c r="L145" s="172"/>
      <c r="M145" s="169">
        <f t="shared" si="59"/>
        <v>0</v>
      </c>
      <c r="N145" s="169">
        <f t="shared" si="38"/>
        <v>-0.31875000000000003</v>
      </c>
      <c r="O145" s="169">
        <f>O144+N145</f>
        <v>-0.95625000000000004</v>
      </c>
      <c r="P145" s="213">
        <f t="shared" si="63"/>
        <v>-2.8687500000000004</v>
      </c>
      <c r="Q145" s="71"/>
      <c r="R145" s="71"/>
    </row>
    <row r="146" spans="2:18" ht="15.75" thickBot="1" x14ac:dyDescent="0.3">
      <c r="B146" s="139">
        <v>43964</v>
      </c>
      <c r="C146" s="214" t="s">
        <v>8</v>
      </c>
      <c r="D146" s="137"/>
      <c r="E146" s="137"/>
      <c r="F146" s="137"/>
      <c r="G146" s="169">
        <f t="shared" si="50"/>
        <v>0</v>
      </c>
      <c r="H146" s="169" t="b">
        <f t="shared" si="37"/>
        <v>0</v>
      </c>
      <c r="I146" s="137"/>
      <c r="J146" s="137"/>
      <c r="K146" s="169">
        <f t="shared" si="62"/>
        <v>0</v>
      </c>
      <c r="L146" s="172"/>
      <c r="M146" s="169">
        <f t="shared" si="59"/>
        <v>0</v>
      </c>
      <c r="N146" s="169">
        <f t="shared" si="38"/>
        <v>-0.31875000000000003</v>
      </c>
      <c r="O146" s="169">
        <f>O145+N146</f>
        <v>-1.2750000000000001</v>
      </c>
      <c r="P146" s="215">
        <f t="shared" si="47"/>
        <v>-3.1875000000000004</v>
      </c>
      <c r="Q146" s="71"/>
      <c r="R146" s="71"/>
    </row>
    <row r="147" spans="2:18" ht="15.75" thickBot="1" x14ac:dyDescent="0.3">
      <c r="B147" s="139">
        <v>43965</v>
      </c>
      <c r="C147" s="214" t="s">
        <v>9</v>
      </c>
      <c r="D147" s="137"/>
      <c r="E147" s="137"/>
      <c r="F147" s="137"/>
      <c r="G147" s="169">
        <f t="shared" si="50"/>
        <v>0</v>
      </c>
      <c r="H147" s="169" t="b">
        <f t="shared" si="37"/>
        <v>0</v>
      </c>
      <c r="I147" s="171"/>
      <c r="J147" s="171"/>
      <c r="K147" s="169">
        <f t="shared" si="62"/>
        <v>0</v>
      </c>
      <c r="L147" s="172"/>
      <c r="M147" s="169">
        <f t="shared" si="59"/>
        <v>0</v>
      </c>
      <c r="N147" s="169">
        <f t="shared" si="38"/>
        <v>-0.31875000000000003</v>
      </c>
      <c r="O147" s="169">
        <f>O146+N147</f>
        <v>-1.5937500000000002</v>
      </c>
      <c r="P147" s="213">
        <f t="shared" si="47"/>
        <v>-3.5062500000000005</v>
      </c>
      <c r="Q147" s="71"/>
      <c r="R147" s="71"/>
    </row>
    <row r="148" spans="2:18" x14ac:dyDescent="0.25">
      <c r="B148" s="139">
        <v>43966</v>
      </c>
      <c r="C148" s="42" t="s">
        <v>21</v>
      </c>
      <c r="D148" s="43"/>
      <c r="E148" s="43"/>
      <c r="F148" s="43"/>
      <c r="G148" s="34"/>
      <c r="H148" s="34"/>
      <c r="I148" s="28"/>
      <c r="J148" s="28"/>
      <c r="K148" s="34"/>
      <c r="L148" s="27"/>
      <c r="M148" s="34">
        <f t="shared" si="59"/>
        <v>0</v>
      </c>
      <c r="N148" s="34"/>
      <c r="O148" s="34"/>
      <c r="P148" s="213"/>
      <c r="Q148" s="72"/>
      <c r="R148" s="72">
        <f t="shared" ref="R148" si="64">Q148/5</f>
        <v>0</v>
      </c>
    </row>
    <row r="149" spans="2:18" ht="15.75" thickBot="1" x14ac:dyDescent="0.3">
      <c r="B149" s="139">
        <v>43967</v>
      </c>
      <c r="C149" s="42" t="s">
        <v>22</v>
      </c>
      <c r="D149" s="43"/>
      <c r="E149" s="43"/>
      <c r="F149" s="43"/>
      <c r="G149" s="34"/>
      <c r="H149" s="34"/>
      <c r="I149" s="28"/>
      <c r="J149" s="28"/>
      <c r="K149" s="34"/>
      <c r="L149" s="27"/>
      <c r="M149" s="34">
        <f t="shared" si="59"/>
        <v>0</v>
      </c>
      <c r="N149" s="34"/>
      <c r="O149" s="34"/>
      <c r="P149" s="215"/>
      <c r="Q149" s="71"/>
      <c r="R149" s="71"/>
    </row>
    <row r="150" spans="2:18" x14ac:dyDescent="0.25">
      <c r="B150" s="139">
        <v>43968</v>
      </c>
      <c r="C150" s="214" t="s">
        <v>6</v>
      </c>
      <c r="D150" s="137"/>
      <c r="E150" s="137"/>
      <c r="F150" s="137"/>
      <c r="G150" s="169"/>
      <c r="H150" s="169" t="b">
        <f t="shared" si="40"/>
        <v>0</v>
      </c>
      <c r="I150" s="171"/>
      <c r="J150" s="171"/>
      <c r="K150" s="169">
        <f t="shared" si="62"/>
        <v>0</v>
      </c>
      <c r="L150" s="172"/>
      <c r="M150" s="169">
        <f t="shared" si="59"/>
        <v>0</v>
      </c>
      <c r="N150" s="169">
        <f t="shared" si="38"/>
        <v>-0.31875000000000003</v>
      </c>
      <c r="O150" s="169">
        <f>N150</f>
        <v>-0.31875000000000003</v>
      </c>
      <c r="P150" s="213">
        <f>P147+N150</f>
        <v>-3.8250000000000006</v>
      </c>
      <c r="Q150" s="71"/>
      <c r="R150" s="71"/>
    </row>
    <row r="151" spans="2:18" ht="15.75" thickBot="1" x14ac:dyDescent="0.3">
      <c r="B151" s="139">
        <v>43969</v>
      </c>
      <c r="C151" s="214" t="s">
        <v>7</v>
      </c>
      <c r="D151" s="137"/>
      <c r="E151" s="137"/>
      <c r="F151" s="137"/>
      <c r="G151" s="169">
        <f t="shared" si="50"/>
        <v>0</v>
      </c>
      <c r="H151" s="169" t="b">
        <f t="shared" si="40"/>
        <v>0</v>
      </c>
      <c r="I151" s="171"/>
      <c r="J151" s="171"/>
      <c r="K151" s="169">
        <f t="shared" si="62"/>
        <v>0</v>
      </c>
      <c r="L151" s="172"/>
      <c r="M151" s="169">
        <f t="shared" si="59"/>
        <v>0</v>
      </c>
      <c r="N151" s="169">
        <f t="shared" ref="N151:N178" si="65">M151-$D$6</f>
        <v>-0.31875000000000003</v>
      </c>
      <c r="O151" s="169">
        <f>O150+N151</f>
        <v>-0.63750000000000007</v>
      </c>
      <c r="P151" s="215">
        <f t="shared" ref="P151:P214" si="66">P150+N151</f>
        <v>-4.1437500000000007</v>
      </c>
      <c r="Q151" s="71"/>
      <c r="R151" s="71"/>
    </row>
    <row r="152" spans="2:18" x14ac:dyDescent="0.25">
      <c r="B152" s="139">
        <v>43970</v>
      </c>
      <c r="C152" s="214" t="s">
        <v>23</v>
      </c>
      <c r="D152" s="137"/>
      <c r="E152" s="137"/>
      <c r="F152" s="137"/>
      <c r="G152" s="169">
        <f t="shared" si="50"/>
        <v>0</v>
      </c>
      <c r="H152" s="169" t="b">
        <f t="shared" si="40"/>
        <v>0</v>
      </c>
      <c r="I152" s="171"/>
      <c r="J152" s="171"/>
      <c r="K152" s="169">
        <f t="shared" si="62"/>
        <v>0</v>
      </c>
      <c r="L152" s="172"/>
      <c r="M152" s="169">
        <f t="shared" si="59"/>
        <v>0</v>
      </c>
      <c r="N152" s="169">
        <f t="shared" si="65"/>
        <v>-0.31875000000000003</v>
      </c>
      <c r="O152" s="169">
        <f>O151+N152</f>
        <v>-0.95625000000000004</v>
      </c>
      <c r="P152" s="213">
        <f t="shared" si="66"/>
        <v>-4.4625000000000004</v>
      </c>
      <c r="Q152" s="71"/>
      <c r="R152" s="71"/>
    </row>
    <row r="153" spans="2:18" ht="15.75" thickBot="1" x14ac:dyDescent="0.3">
      <c r="B153" s="139">
        <v>43971</v>
      </c>
      <c r="C153" s="214" t="s">
        <v>8</v>
      </c>
      <c r="D153" s="137"/>
      <c r="E153" s="137"/>
      <c r="F153" s="137"/>
      <c r="G153" s="169">
        <f t="shared" si="50"/>
        <v>0</v>
      </c>
      <c r="H153" s="169" t="b">
        <f t="shared" ref="H153:H216" si="67">IF(G153&gt;$I$6,G153)</f>
        <v>0</v>
      </c>
      <c r="I153" s="137"/>
      <c r="J153" s="137"/>
      <c r="K153" s="169">
        <f t="shared" si="62"/>
        <v>0</v>
      </c>
      <c r="L153" s="172"/>
      <c r="M153" s="169">
        <f t="shared" si="59"/>
        <v>0</v>
      </c>
      <c r="N153" s="169">
        <f t="shared" si="65"/>
        <v>-0.31875000000000003</v>
      </c>
      <c r="O153" s="169">
        <f>O152+N153</f>
        <v>-1.2750000000000001</v>
      </c>
      <c r="P153" s="215">
        <f t="shared" si="47"/>
        <v>-4.78125</v>
      </c>
      <c r="Q153" s="71"/>
      <c r="R153" s="71"/>
    </row>
    <row r="154" spans="2:18" ht="15.75" thickBot="1" x14ac:dyDescent="0.3">
      <c r="B154" s="139">
        <v>43972</v>
      </c>
      <c r="C154" s="214" t="s">
        <v>9</v>
      </c>
      <c r="D154" s="137"/>
      <c r="E154" s="137"/>
      <c r="F154" s="137"/>
      <c r="G154" s="169">
        <f t="shared" si="50"/>
        <v>0</v>
      </c>
      <c r="H154" s="169" t="b">
        <f t="shared" si="67"/>
        <v>0</v>
      </c>
      <c r="I154" s="171"/>
      <c r="J154" s="171"/>
      <c r="K154" s="169">
        <f t="shared" si="62"/>
        <v>0</v>
      </c>
      <c r="L154" s="172"/>
      <c r="M154" s="169">
        <f t="shared" si="59"/>
        <v>0</v>
      </c>
      <c r="N154" s="169">
        <f t="shared" si="65"/>
        <v>-0.31875000000000003</v>
      </c>
      <c r="O154" s="169">
        <f>O153+N154</f>
        <v>-1.5937500000000002</v>
      </c>
      <c r="P154" s="213">
        <f t="shared" si="47"/>
        <v>-5.0999999999999996</v>
      </c>
      <c r="Q154" s="71"/>
      <c r="R154" s="71"/>
    </row>
    <row r="155" spans="2:18" x14ac:dyDescent="0.25">
      <c r="B155" s="139">
        <v>43973</v>
      </c>
      <c r="C155" s="42" t="s">
        <v>21</v>
      </c>
      <c r="D155" s="43"/>
      <c r="E155" s="43"/>
      <c r="F155" s="43"/>
      <c r="G155" s="34"/>
      <c r="H155" s="34"/>
      <c r="I155" s="28"/>
      <c r="J155" s="28"/>
      <c r="K155" s="34"/>
      <c r="L155" s="27"/>
      <c r="M155" s="34">
        <f t="shared" si="59"/>
        <v>0</v>
      </c>
      <c r="N155" s="34"/>
      <c r="O155" s="34"/>
      <c r="P155" s="213"/>
      <c r="Q155" s="72"/>
      <c r="R155" s="72">
        <f t="shared" ref="R155" si="68">Q155/5</f>
        <v>0</v>
      </c>
    </row>
    <row r="156" spans="2:18" ht="15.75" thickBot="1" x14ac:dyDescent="0.3">
      <c r="B156" s="139">
        <v>43974</v>
      </c>
      <c r="C156" s="42" t="s">
        <v>22</v>
      </c>
      <c r="D156" s="43"/>
      <c r="E156" s="43"/>
      <c r="F156" s="43"/>
      <c r="G156" s="34"/>
      <c r="H156" s="34"/>
      <c r="I156" s="28"/>
      <c r="J156" s="28"/>
      <c r="K156" s="34"/>
      <c r="L156" s="27"/>
      <c r="M156" s="34">
        <f t="shared" si="59"/>
        <v>0</v>
      </c>
      <c r="N156" s="34"/>
      <c r="O156" s="34"/>
      <c r="P156" s="215"/>
      <c r="Q156" s="71"/>
      <c r="R156" s="71"/>
    </row>
    <row r="157" spans="2:18" x14ac:dyDescent="0.25">
      <c r="B157" s="139">
        <v>43975</v>
      </c>
      <c r="C157" s="214" t="s">
        <v>6</v>
      </c>
      <c r="D157" s="137"/>
      <c r="E157" s="137"/>
      <c r="F157" s="137"/>
      <c r="G157" s="169"/>
      <c r="H157" s="169" t="b">
        <f t="shared" si="67"/>
        <v>0</v>
      </c>
      <c r="I157" s="171"/>
      <c r="J157" s="171"/>
      <c r="K157" s="169">
        <f t="shared" si="62"/>
        <v>0</v>
      </c>
      <c r="L157" s="172"/>
      <c r="M157" s="169">
        <f t="shared" si="59"/>
        <v>0</v>
      </c>
      <c r="N157" s="169">
        <f t="shared" si="65"/>
        <v>-0.31875000000000003</v>
      </c>
      <c r="O157" s="169">
        <f>N157</f>
        <v>-0.31875000000000003</v>
      </c>
      <c r="P157" s="213">
        <f>P154+N157</f>
        <v>-5.4187499999999993</v>
      </c>
      <c r="Q157" s="71"/>
      <c r="R157" s="71"/>
    </row>
    <row r="158" spans="2:18" ht="15.75" thickBot="1" x14ac:dyDescent="0.3">
      <c r="B158" s="139">
        <v>43976</v>
      </c>
      <c r="C158" s="214" t="s">
        <v>7</v>
      </c>
      <c r="D158" s="137"/>
      <c r="E158" s="137"/>
      <c r="F158" s="137"/>
      <c r="G158" s="169">
        <f t="shared" si="50"/>
        <v>0</v>
      </c>
      <c r="H158" s="169" t="b">
        <f t="shared" si="67"/>
        <v>0</v>
      </c>
      <c r="I158" s="171"/>
      <c r="J158" s="171"/>
      <c r="K158" s="169">
        <f t="shared" si="62"/>
        <v>0</v>
      </c>
      <c r="L158" s="172"/>
      <c r="M158" s="169">
        <f t="shared" si="59"/>
        <v>0</v>
      </c>
      <c r="N158" s="169">
        <f t="shared" si="65"/>
        <v>-0.31875000000000003</v>
      </c>
      <c r="O158" s="169">
        <f>O157+N158</f>
        <v>-0.63750000000000007</v>
      </c>
      <c r="P158" s="215">
        <f t="shared" ref="P158:P221" si="69">P157+N158</f>
        <v>-5.7374999999999989</v>
      </c>
      <c r="Q158" s="71"/>
      <c r="R158" s="71"/>
    </row>
    <row r="159" spans="2:18" x14ac:dyDescent="0.25">
      <c r="B159" s="139">
        <v>43977</v>
      </c>
      <c r="C159" s="214" t="s">
        <v>23</v>
      </c>
      <c r="D159" s="137"/>
      <c r="E159" s="137"/>
      <c r="F159" s="137"/>
      <c r="G159" s="169">
        <f t="shared" si="50"/>
        <v>0</v>
      </c>
      <c r="H159" s="169" t="b">
        <f t="shared" ref="H159:H222" si="70">IF(G159&gt;$I$6,G159-$I$6)</f>
        <v>0</v>
      </c>
      <c r="I159" s="171"/>
      <c r="J159" s="171"/>
      <c r="K159" s="169">
        <f t="shared" si="62"/>
        <v>0</v>
      </c>
      <c r="L159" s="172"/>
      <c r="M159" s="169">
        <f t="shared" si="59"/>
        <v>0</v>
      </c>
      <c r="N159" s="169">
        <f t="shared" si="65"/>
        <v>-0.31875000000000003</v>
      </c>
      <c r="O159" s="169">
        <f>O158+N159</f>
        <v>-0.95625000000000004</v>
      </c>
      <c r="P159" s="213">
        <f t="shared" si="69"/>
        <v>-6.0562499999999986</v>
      </c>
      <c r="Q159" s="71"/>
      <c r="R159" s="71"/>
    </row>
    <row r="160" spans="2:18" ht="15.75" thickBot="1" x14ac:dyDescent="0.3">
      <c r="B160" s="139">
        <v>43978</v>
      </c>
      <c r="C160" s="214" t="s">
        <v>8</v>
      </c>
      <c r="D160" s="137"/>
      <c r="E160" s="137"/>
      <c r="F160" s="137"/>
      <c r="G160" s="169">
        <f t="shared" si="50"/>
        <v>0</v>
      </c>
      <c r="H160" s="169" t="b">
        <f t="shared" si="70"/>
        <v>0</v>
      </c>
      <c r="I160" s="137"/>
      <c r="J160" s="137"/>
      <c r="K160" s="169">
        <f t="shared" si="62"/>
        <v>0</v>
      </c>
      <c r="L160" s="172"/>
      <c r="M160" s="169">
        <f t="shared" si="59"/>
        <v>0</v>
      </c>
      <c r="N160" s="169">
        <f t="shared" si="65"/>
        <v>-0.31875000000000003</v>
      </c>
      <c r="O160" s="169">
        <f>O159+N160</f>
        <v>-1.2750000000000001</v>
      </c>
      <c r="P160" s="215">
        <f t="shared" si="47"/>
        <v>-6.3749999999999982</v>
      </c>
      <c r="Q160" s="71"/>
      <c r="R160" s="71"/>
    </row>
    <row r="161" spans="2:21" ht="15.75" thickBot="1" x14ac:dyDescent="0.3">
      <c r="B161" s="139">
        <v>43979</v>
      </c>
      <c r="C161" s="214" t="s">
        <v>9</v>
      </c>
      <c r="D161" s="137"/>
      <c r="E161" s="137"/>
      <c r="F161" s="137"/>
      <c r="G161" s="169">
        <f t="shared" si="50"/>
        <v>0</v>
      </c>
      <c r="H161" s="169" t="b">
        <f t="shared" si="70"/>
        <v>0</v>
      </c>
      <c r="I161" s="171"/>
      <c r="J161" s="171"/>
      <c r="K161" s="169">
        <f t="shared" si="62"/>
        <v>0</v>
      </c>
      <c r="L161" s="172"/>
      <c r="M161" s="169">
        <f t="shared" si="59"/>
        <v>0</v>
      </c>
      <c r="N161" s="169">
        <f t="shared" si="65"/>
        <v>-0.31875000000000003</v>
      </c>
      <c r="O161" s="169">
        <f>O160+N161</f>
        <v>-1.5937500000000002</v>
      </c>
      <c r="P161" s="213">
        <f t="shared" si="47"/>
        <v>-6.6937499999999979</v>
      </c>
      <c r="Q161" s="71"/>
      <c r="R161" s="71"/>
    </row>
    <row r="162" spans="2:21" x14ac:dyDescent="0.25">
      <c r="B162" s="139">
        <v>43980</v>
      </c>
      <c r="C162" s="42" t="s">
        <v>21</v>
      </c>
      <c r="D162" s="43"/>
      <c r="E162" s="43"/>
      <c r="F162" s="43"/>
      <c r="G162" s="34"/>
      <c r="H162" s="34"/>
      <c r="I162" s="28"/>
      <c r="J162" s="28"/>
      <c r="K162" s="34"/>
      <c r="L162" s="27"/>
      <c r="M162" s="34">
        <f t="shared" si="59"/>
        <v>0</v>
      </c>
      <c r="N162" s="34"/>
      <c r="O162" s="34"/>
      <c r="P162" s="213"/>
      <c r="Q162" s="72"/>
      <c r="R162" s="72">
        <f t="shared" ref="R162" si="71">Q162/5</f>
        <v>0</v>
      </c>
      <c r="T162" s="166" t="s">
        <v>61</v>
      </c>
    </row>
    <row r="163" spans="2:21" ht="15.75" thickBot="1" x14ac:dyDescent="0.3">
      <c r="B163" s="139">
        <v>43981</v>
      </c>
      <c r="C163" s="42" t="s">
        <v>22</v>
      </c>
      <c r="D163" s="43"/>
      <c r="E163" s="43"/>
      <c r="F163" s="43"/>
      <c r="G163" s="34"/>
      <c r="H163" s="34"/>
      <c r="I163" s="28"/>
      <c r="J163" s="28"/>
      <c r="K163" s="34"/>
      <c r="L163" s="27"/>
      <c r="M163" s="34">
        <f t="shared" si="59"/>
        <v>0</v>
      </c>
      <c r="N163" s="34"/>
      <c r="O163" s="34"/>
      <c r="P163" s="215"/>
      <c r="Q163" s="71"/>
      <c r="R163" s="71"/>
      <c r="T163" s="165">
        <f>SUM(M133:M163)</f>
        <v>0</v>
      </c>
      <c r="U163" s="168">
        <f>T163/21</f>
        <v>0</v>
      </c>
    </row>
    <row r="164" spans="2:21" x14ac:dyDescent="0.25">
      <c r="B164" s="139">
        <v>43982</v>
      </c>
      <c r="C164" s="214" t="s">
        <v>6</v>
      </c>
      <c r="D164" s="137"/>
      <c r="E164" s="137"/>
      <c r="F164" s="137"/>
      <c r="G164" s="169"/>
      <c r="H164" s="169" t="b">
        <f t="shared" ref="H164:H165" si="72">IF(G164&gt;$I$6,G164)</f>
        <v>0</v>
      </c>
      <c r="I164" s="171"/>
      <c r="J164" s="171"/>
      <c r="K164" s="169">
        <f t="shared" si="62"/>
        <v>0</v>
      </c>
      <c r="L164" s="172"/>
      <c r="M164" s="169">
        <f t="shared" si="59"/>
        <v>0</v>
      </c>
      <c r="N164" s="169">
        <f t="shared" si="65"/>
        <v>-0.31875000000000003</v>
      </c>
      <c r="O164" s="169">
        <f>N164</f>
        <v>-0.31875000000000003</v>
      </c>
      <c r="P164" s="213">
        <f t="shared" ref="P164:P227" si="73">N164</f>
        <v>-0.31875000000000003</v>
      </c>
      <c r="Q164" s="71"/>
      <c r="R164" s="71"/>
    </row>
    <row r="165" spans="2:21" ht="15.75" thickBot="1" x14ac:dyDescent="0.3">
      <c r="B165" s="139">
        <v>43983</v>
      </c>
      <c r="C165" s="214" t="s">
        <v>7</v>
      </c>
      <c r="D165" s="137"/>
      <c r="E165" s="137"/>
      <c r="F165" s="137"/>
      <c r="G165" s="169">
        <f t="shared" ref="G165:G189" si="74">F165-E165</f>
        <v>0</v>
      </c>
      <c r="H165" s="169" t="b">
        <f t="shared" si="72"/>
        <v>0</v>
      </c>
      <c r="I165" s="171"/>
      <c r="J165" s="171"/>
      <c r="K165" s="169">
        <f t="shared" si="62"/>
        <v>0</v>
      </c>
      <c r="L165" s="172"/>
      <c r="M165" s="169">
        <f t="shared" si="59"/>
        <v>0</v>
      </c>
      <c r="N165" s="169">
        <f t="shared" si="65"/>
        <v>-0.31875000000000003</v>
      </c>
      <c r="O165" s="169">
        <f>O164+N165</f>
        <v>-0.63750000000000007</v>
      </c>
      <c r="P165" s="215">
        <f t="shared" ref="P165:P228" si="75">P164+N165</f>
        <v>-0.63750000000000007</v>
      </c>
      <c r="Q165" s="71"/>
      <c r="R165" s="71"/>
    </row>
    <row r="166" spans="2:21" x14ac:dyDescent="0.25">
      <c r="B166" s="139">
        <v>43984</v>
      </c>
      <c r="C166" s="214" t="s">
        <v>23</v>
      </c>
      <c r="D166" s="137"/>
      <c r="E166" s="137"/>
      <c r="F166" s="137"/>
      <c r="G166" s="169">
        <f t="shared" si="74"/>
        <v>0</v>
      </c>
      <c r="H166" s="169" t="b">
        <f t="shared" si="67"/>
        <v>0</v>
      </c>
      <c r="I166" s="171"/>
      <c r="J166" s="171"/>
      <c r="K166" s="169">
        <f t="shared" si="62"/>
        <v>0</v>
      </c>
      <c r="L166" s="172"/>
      <c r="M166" s="169">
        <f t="shared" si="59"/>
        <v>0</v>
      </c>
      <c r="N166" s="169">
        <f t="shared" si="65"/>
        <v>-0.31875000000000003</v>
      </c>
      <c r="O166" s="169">
        <f>O165+N166</f>
        <v>-0.95625000000000004</v>
      </c>
      <c r="P166" s="213">
        <f t="shared" si="75"/>
        <v>-0.95625000000000004</v>
      </c>
      <c r="Q166" s="71"/>
      <c r="R166" s="71"/>
    </row>
    <row r="167" spans="2:21" ht="15.75" thickBot="1" x14ac:dyDescent="0.3">
      <c r="B167" s="139">
        <v>43985</v>
      </c>
      <c r="C167" s="214" t="s">
        <v>8</v>
      </c>
      <c r="D167" s="137"/>
      <c r="E167" s="137"/>
      <c r="F167" s="137"/>
      <c r="G167" s="169">
        <f t="shared" si="74"/>
        <v>0</v>
      </c>
      <c r="H167" s="169" t="b">
        <f t="shared" si="67"/>
        <v>0</v>
      </c>
      <c r="I167" s="137"/>
      <c r="J167" s="137"/>
      <c r="K167" s="169">
        <f t="shared" si="62"/>
        <v>0</v>
      </c>
      <c r="L167" s="172"/>
      <c r="M167" s="169">
        <f t="shared" si="59"/>
        <v>0</v>
      </c>
      <c r="N167" s="169">
        <f t="shared" si="65"/>
        <v>-0.31875000000000003</v>
      </c>
      <c r="O167" s="169">
        <f>O166+N167</f>
        <v>-1.2750000000000001</v>
      </c>
      <c r="P167" s="215">
        <f t="shared" si="47"/>
        <v>-1.2750000000000001</v>
      </c>
      <c r="Q167" s="71"/>
      <c r="R167" s="71"/>
    </row>
    <row r="168" spans="2:21" ht="15.75" thickBot="1" x14ac:dyDescent="0.3">
      <c r="B168" s="139">
        <v>43986</v>
      </c>
      <c r="C168" s="214" t="s">
        <v>9</v>
      </c>
      <c r="D168" s="137"/>
      <c r="E168" s="137"/>
      <c r="F168" s="137"/>
      <c r="G168" s="169">
        <f t="shared" si="74"/>
        <v>0</v>
      </c>
      <c r="H168" s="169" t="b">
        <f t="shared" si="67"/>
        <v>0</v>
      </c>
      <c r="I168" s="171"/>
      <c r="J168" s="171"/>
      <c r="K168" s="169">
        <f t="shared" si="62"/>
        <v>0</v>
      </c>
      <c r="L168" s="172"/>
      <c r="M168" s="169">
        <f t="shared" si="59"/>
        <v>0</v>
      </c>
      <c r="N168" s="169">
        <f t="shared" si="65"/>
        <v>-0.31875000000000003</v>
      </c>
      <c r="O168" s="169">
        <f>O167+N168</f>
        <v>-1.5937500000000002</v>
      </c>
      <c r="P168" s="213">
        <f t="shared" si="47"/>
        <v>-1.5937500000000002</v>
      </c>
      <c r="Q168" s="71"/>
      <c r="R168" s="71"/>
      <c r="S168" t="s">
        <v>70</v>
      </c>
    </row>
    <row r="169" spans="2:21" x14ac:dyDescent="0.25">
      <c r="B169" s="139">
        <v>43987</v>
      </c>
      <c r="C169" s="42" t="s">
        <v>21</v>
      </c>
      <c r="D169" s="43"/>
      <c r="E169" s="43"/>
      <c r="F169" s="43"/>
      <c r="G169" s="34"/>
      <c r="H169" s="34"/>
      <c r="I169" s="28"/>
      <c r="J169" s="28"/>
      <c r="K169" s="34"/>
      <c r="L169" s="27"/>
      <c r="M169" s="34">
        <f t="shared" si="59"/>
        <v>0</v>
      </c>
      <c r="N169" s="34"/>
      <c r="O169" s="34"/>
      <c r="P169" s="213"/>
      <c r="Q169" s="72"/>
      <c r="R169" s="72">
        <f t="shared" ref="R169" si="76">Q169/5</f>
        <v>0</v>
      </c>
    </row>
    <row r="170" spans="2:21" ht="15.75" thickBot="1" x14ac:dyDescent="0.3">
      <c r="B170" s="139">
        <v>43988</v>
      </c>
      <c r="C170" s="42" t="s">
        <v>22</v>
      </c>
      <c r="D170" s="43"/>
      <c r="E170" s="43"/>
      <c r="F170" s="43"/>
      <c r="G170" s="34"/>
      <c r="H170" s="34"/>
      <c r="I170" s="28"/>
      <c r="J170" s="28"/>
      <c r="K170" s="34"/>
      <c r="L170" s="27"/>
      <c r="M170" s="34">
        <f t="shared" si="59"/>
        <v>0</v>
      </c>
      <c r="N170" s="34"/>
      <c r="O170" s="34"/>
      <c r="P170" s="215"/>
      <c r="Q170" s="71"/>
      <c r="R170" s="71"/>
    </row>
    <row r="171" spans="2:21" x14ac:dyDescent="0.25">
      <c r="B171" s="139">
        <v>43989</v>
      </c>
      <c r="C171" s="214" t="s">
        <v>6</v>
      </c>
      <c r="D171" s="137"/>
      <c r="E171" s="137"/>
      <c r="F171" s="137"/>
      <c r="G171" s="169"/>
      <c r="H171" s="169" t="b">
        <f t="shared" si="70"/>
        <v>0</v>
      </c>
      <c r="I171" s="171"/>
      <c r="J171" s="171"/>
      <c r="K171" s="169">
        <f t="shared" si="62"/>
        <v>0</v>
      </c>
      <c r="L171" s="172"/>
      <c r="M171" s="169">
        <f t="shared" si="59"/>
        <v>0</v>
      </c>
      <c r="N171" s="169">
        <f t="shared" si="65"/>
        <v>-0.31875000000000003</v>
      </c>
      <c r="O171" s="169">
        <f>N171</f>
        <v>-0.31875000000000003</v>
      </c>
      <c r="P171" s="213">
        <f>P168+N171</f>
        <v>-1.9125000000000003</v>
      </c>
      <c r="Q171" s="71"/>
      <c r="R171" s="71"/>
    </row>
    <row r="172" spans="2:21" ht="15.75" thickBot="1" x14ac:dyDescent="0.3">
      <c r="B172" s="175">
        <v>43990</v>
      </c>
      <c r="C172" s="214" t="s">
        <v>7</v>
      </c>
      <c r="D172" s="137"/>
      <c r="E172" s="137"/>
      <c r="F172" s="137"/>
      <c r="G172" s="169">
        <f t="shared" si="74"/>
        <v>0</v>
      </c>
      <c r="H172" s="169" t="b">
        <f t="shared" si="70"/>
        <v>0</v>
      </c>
      <c r="I172" s="171"/>
      <c r="J172" s="171"/>
      <c r="K172" s="169">
        <f t="shared" si="62"/>
        <v>0</v>
      </c>
      <c r="L172" s="172"/>
      <c r="M172" s="169">
        <f t="shared" si="59"/>
        <v>0</v>
      </c>
      <c r="N172" s="169">
        <f t="shared" si="65"/>
        <v>-0.31875000000000003</v>
      </c>
      <c r="O172" s="169">
        <f>O171+N172</f>
        <v>-0.63750000000000007</v>
      </c>
      <c r="P172" s="215">
        <f t="shared" ref="P172:P235" si="77">P171+N172</f>
        <v>-2.2312500000000002</v>
      </c>
      <c r="Q172" s="71"/>
      <c r="R172" s="71"/>
      <c r="S172" t="s">
        <v>68</v>
      </c>
    </row>
    <row r="173" spans="2:21" x14ac:dyDescent="0.25">
      <c r="B173" s="175">
        <v>43991</v>
      </c>
      <c r="C173" s="214" t="s">
        <v>23</v>
      </c>
      <c r="D173" s="137"/>
      <c r="E173" s="137"/>
      <c r="F173" s="137"/>
      <c r="G173" s="169">
        <f t="shared" si="74"/>
        <v>0</v>
      </c>
      <c r="H173" s="169" t="b">
        <f t="shared" ref="H173:H175" si="78">IF(G173&gt;$I$6,G173)</f>
        <v>0</v>
      </c>
      <c r="I173" s="171"/>
      <c r="J173" s="171"/>
      <c r="K173" s="169">
        <f t="shared" si="62"/>
        <v>0</v>
      </c>
      <c r="L173" s="172"/>
      <c r="M173" s="169">
        <f t="shared" si="59"/>
        <v>0</v>
      </c>
      <c r="N173" s="169">
        <f t="shared" si="65"/>
        <v>-0.31875000000000003</v>
      </c>
      <c r="O173" s="169">
        <f>O172+N173</f>
        <v>-0.95625000000000004</v>
      </c>
      <c r="P173" s="213">
        <f t="shared" si="77"/>
        <v>-2.5500000000000003</v>
      </c>
      <c r="Q173" s="71"/>
      <c r="R173" s="71"/>
      <c r="S173" t="s">
        <v>69</v>
      </c>
    </row>
    <row r="174" spans="2:21" ht="15.75" thickBot="1" x14ac:dyDescent="0.3">
      <c r="B174" s="139">
        <v>43992</v>
      </c>
      <c r="C174" s="214" t="s">
        <v>8</v>
      </c>
      <c r="D174" s="137"/>
      <c r="E174" s="137"/>
      <c r="F174" s="137"/>
      <c r="G174" s="169">
        <f t="shared" si="74"/>
        <v>0</v>
      </c>
      <c r="H174" s="169" t="b">
        <f t="shared" si="78"/>
        <v>0</v>
      </c>
      <c r="I174" s="137"/>
      <c r="J174" s="137"/>
      <c r="K174" s="169">
        <f t="shared" si="62"/>
        <v>0</v>
      </c>
      <c r="L174" s="172"/>
      <c r="M174" s="169">
        <f t="shared" si="59"/>
        <v>0</v>
      </c>
      <c r="N174" s="169">
        <f t="shared" si="65"/>
        <v>-0.31875000000000003</v>
      </c>
      <c r="O174" s="169">
        <f>O173+N174</f>
        <v>-1.2750000000000001</v>
      </c>
      <c r="P174" s="215">
        <f t="shared" si="77"/>
        <v>-2.8687500000000004</v>
      </c>
      <c r="Q174" s="71"/>
      <c r="R174" s="71"/>
    </row>
    <row r="175" spans="2:21" ht="15.75" thickBot="1" x14ac:dyDescent="0.3">
      <c r="B175" s="139">
        <v>43993</v>
      </c>
      <c r="C175" s="214" t="s">
        <v>9</v>
      </c>
      <c r="D175" s="137"/>
      <c r="E175" s="137"/>
      <c r="F175" s="137"/>
      <c r="G175" s="169">
        <f t="shared" si="74"/>
        <v>0</v>
      </c>
      <c r="H175" s="169" t="b">
        <f t="shared" si="78"/>
        <v>0</v>
      </c>
      <c r="I175" s="171"/>
      <c r="J175" s="171"/>
      <c r="K175" s="169">
        <f t="shared" si="62"/>
        <v>0</v>
      </c>
      <c r="L175" s="172"/>
      <c r="M175" s="169">
        <f t="shared" si="59"/>
        <v>0</v>
      </c>
      <c r="N175" s="169">
        <f t="shared" si="65"/>
        <v>-0.31875000000000003</v>
      </c>
      <c r="O175" s="169">
        <f>O174+N175</f>
        <v>-1.5937500000000002</v>
      </c>
      <c r="P175" s="213">
        <f t="shared" si="77"/>
        <v>-3.1875000000000004</v>
      </c>
      <c r="Q175" s="71"/>
      <c r="R175" s="71"/>
    </row>
    <row r="176" spans="2:21" x14ac:dyDescent="0.25">
      <c r="B176" s="139">
        <v>43994</v>
      </c>
      <c r="C176" s="42" t="s">
        <v>21</v>
      </c>
      <c r="D176" s="43"/>
      <c r="E176" s="43"/>
      <c r="F176" s="43"/>
      <c r="G176" s="34"/>
      <c r="H176" s="34"/>
      <c r="I176" s="28"/>
      <c r="J176" s="28"/>
      <c r="K176" s="34"/>
      <c r="L176" s="27"/>
      <c r="M176" s="34">
        <f t="shared" si="59"/>
        <v>0</v>
      </c>
      <c r="N176" s="34"/>
      <c r="O176" s="34"/>
      <c r="P176" s="213"/>
      <c r="Q176" s="72"/>
      <c r="R176" s="72">
        <f t="shared" ref="R176" si="79">Q176/5</f>
        <v>0</v>
      </c>
    </row>
    <row r="177" spans="2:22" ht="15.75" thickBot="1" x14ac:dyDescent="0.3">
      <c r="B177" s="139">
        <v>43995</v>
      </c>
      <c r="C177" s="42" t="s">
        <v>22</v>
      </c>
      <c r="D177" s="43"/>
      <c r="E177" s="43"/>
      <c r="F177" s="43"/>
      <c r="G177" s="34"/>
      <c r="H177" s="34"/>
      <c r="I177" s="28"/>
      <c r="J177" s="28"/>
      <c r="K177" s="34"/>
      <c r="L177" s="27"/>
      <c r="M177" s="34">
        <f t="shared" si="59"/>
        <v>0</v>
      </c>
      <c r="N177" s="34"/>
      <c r="O177" s="34"/>
      <c r="P177" s="215"/>
      <c r="Q177" s="71"/>
      <c r="R177" s="71"/>
    </row>
    <row r="178" spans="2:22" x14ac:dyDescent="0.25">
      <c r="B178" s="139">
        <v>43996</v>
      </c>
      <c r="C178" s="214" t="s">
        <v>6</v>
      </c>
      <c r="D178" s="137"/>
      <c r="E178" s="137"/>
      <c r="F178" s="137"/>
      <c r="G178" s="169"/>
      <c r="H178" s="169" t="b">
        <f t="shared" si="67"/>
        <v>0</v>
      </c>
      <c r="I178" s="171"/>
      <c r="J178" s="171"/>
      <c r="K178" s="169">
        <f t="shared" si="62"/>
        <v>0</v>
      </c>
      <c r="L178" s="172"/>
      <c r="M178" s="169">
        <f t="shared" si="59"/>
        <v>0</v>
      </c>
      <c r="N178" s="169">
        <f t="shared" si="65"/>
        <v>-0.31875000000000003</v>
      </c>
      <c r="O178" s="169">
        <f>N178</f>
        <v>-0.31875000000000003</v>
      </c>
      <c r="P178" s="213">
        <f>P175+N178</f>
        <v>-3.5062500000000005</v>
      </c>
      <c r="Q178" s="71"/>
      <c r="R178" s="71"/>
    </row>
    <row r="179" spans="2:22" ht="15.75" thickBot="1" x14ac:dyDescent="0.3">
      <c r="B179" s="139">
        <v>43997</v>
      </c>
      <c r="C179" s="214" t="s">
        <v>7</v>
      </c>
      <c r="D179" s="137"/>
      <c r="E179" s="137"/>
      <c r="F179" s="137"/>
      <c r="G179" s="169">
        <f t="shared" si="74"/>
        <v>0</v>
      </c>
      <c r="H179" s="169" t="b">
        <f t="shared" si="70"/>
        <v>0</v>
      </c>
      <c r="I179" s="171"/>
      <c r="J179" s="171"/>
      <c r="K179" s="169">
        <f t="shared" si="62"/>
        <v>0</v>
      </c>
      <c r="L179" s="172"/>
      <c r="M179" s="169">
        <f t="shared" si="59"/>
        <v>0</v>
      </c>
      <c r="N179" s="169">
        <f>M179-$E$6</f>
        <v>-0.29166666666666669</v>
      </c>
      <c r="O179" s="169">
        <f>O178+N179</f>
        <v>-0.61041666666666672</v>
      </c>
      <c r="P179" s="215">
        <f t="shared" ref="P179:P210" si="80">P178+N179</f>
        <v>-3.7979166666666671</v>
      </c>
      <c r="Q179" s="71"/>
      <c r="R179" s="71"/>
    </row>
    <row r="180" spans="2:22" x14ac:dyDescent="0.25">
      <c r="B180" s="139">
        <v>43998</v>
      </c>
      <c r="C180" s="214" t="s">
        <v>23</v>
      </c>
      <c r="D180" s="137"/>
      <c r="E180" s="137"/>
      <c r="F180" s="137"/>
      <c r="G180" s="169">
        <f t="shared" si="74"/>
        <v>0</v>
      </c>
      <c r="H180" s="169" t="b">
        <f t="shared" si="70"/>
        <v>0</v>
      </c>
      <c r="I180" s="171"/>
      <c r="J180" s="171"/>
      <c r="K180" s="169">
        <f t="shared" si="62"/>
        <v>0</v>
      </c>
      <c r="L180" s="172"/>
      <c r="M180" s="169">
        <f t="shared" si="59"/>
        <v>0</v>
      </c>
      <c r="N180" s="169">
        <f>M180-$E$6</f>
        <v>-0.29166666666666669</v>
      </c>
      <c r="O180" s="169">
        <f>O179+N180</f>
        <v>-0.90208333333333335</v>
      </c>
      <c r="P180" s="213">
        <f t="shared" si="80"/>
        <v>-4.0895833333333336</v>
      </c>
      <c r="Q180" s="71"/>
      <c r="R180" s="71"/>
    </row>
    <row r="181" spans="2:22" ht="15.75" thickBot="1" x14ac:dyDescent="0.3">
      <c r="B181" s="139">
        <v>43999</v>
      </c>
      <c r="C181" s="214" t="s">
        <v>8</v>
      </c>
      <c r="D181" s="137"/>
      <c r="E181" s="137"/>
      <c r="F181" s="137"/>
      <c r="G181" s="169">
        <f t="shared" si="74"/>
        <v>0</v>
      </c>
      <c r="H181" s="169" t="b">
        <f t="shared" si="70"/>
        <v>0</v>
      </c>
      <c r="I181" s="137"/>
      <c r="J181" s="137"/>
      <c r="K181" s="169">
        <f t="shared" si="62"/>
        <v>0</v>
      </c>
      <c r="L181" s="172"/>
      <c r="M181" s="169">
        <f t="shared" si="59"/>
        <v>0</v>
      </c>
      <c r="N181" s="169">
        <f>M181-$E$6</f>
        <v>-0.29166666666666669</v>
      </c>
      <c r="O181" s="169">
        <f>O180+N181</f>
        <v>-1.1937500000000001</v>
      </c>
      <c r="P181" s="215">
        <f t="shared" si="77"/>
        <v>-4.3812500000000005</v>
      </c>
      <c r="Q181" s="71"/>
      <c r="R181" s="71"/>
    </row>
    <row r="182" spans="2:22" ht="15.75" thickBot="1" x14ac:dyDescent="0.3">
      <c r="B182" s="139">
        <v>44000</v>
      </c>
      <c r="C182" s="214" t="s">
        <v>9</v>
      </c>
      <c r="D182" s="137"/>
      <c r="E182" s="137"/>
      <c r="F182" s="137"/>
      <c r="G182" s="169">
        <f t="shared" si="74"/>
        <v>0</v>
      </c>
      <c r="H182" s="169" t="b">
        <f t="shared" si="70"/>
        <v>0</v>
      </c>
      <c r="I182" s="171"/>
      <c r="J182" s="171"/>
      <c r="K182" s="169">
        <f t="shared" si="62"/>
        <v>0</v>
      </c>
      <c r="L182" s="172"/>
      <c r="M182" s="169">
        <f t="shared" si="59"/>
        <v>0</v>
      </c>
      <c r="N182" s="169">
        <f>M182-$E$6</f>
        <v>-0.29166666666666669</v>
      </c>
      <c r="O182" s="169">
        <f>O181+N182</f>
        <v>-1.4854166666666668</v>
      </c>
      <c r="P182" s="213">
        <f t="shared" si="77"/>
        <v>-4.6729166666666675</v>
      </c>
      <c r="Q182" s="71"/>
      <c r="R182" s="71"/>
    </row>
    <row r="183" spans="2:22" x14ac:dyDescent="0.25">
      <c r="B183" s="139">
        <v>44001</v>
      </c>
      <c r="C183" s="42" t="s">
        <v>21</v>
      </c>
      <c r="D183" s="43"/>
      <c r="E183" s="43"/>
      <c r="F183" s="43"/>
      <c r="G183" s="34"/>
      <c r="H183" s="34"/>
      <c r="I183" s="28"/>
      <c r="J183" s="28"/>
      <c r="K183" s="34"/>
      <c r="L183" s="27"/>
      <c r="M183" s="34">
        <f t="shared" si="59"/>
        <v>0</v>
      </c>
      <c r="N183" s="34"/>
      <c r="O183" s="34"/>
      <c r="P183" s="213"/>
      <c r="Q183" s="72"/>
      <c r="R183" s="72">
        <f t="shared" ref="R183" si="81">Q183/5</f>
        <v>0</v>
      </c>
    </row>
    <row r="184" spans="2:22" ht="15.75" thickBot="1" x14ac:dyDescent="0.3">
      <c r="B184" s="139">
        <v>44002</v>
      </c>
      <c r="C184" s="42" t="s">
        <v>22</v>
      </c>
      <c r="D184" s="43"/>
      <c r="E184" s="43"/>
      <c r="F184" s="43"/>
      <c r="G184" s="34"/>
      <c r="H184" s="34"/>
      <c r="I184" s="28"/>
      <c r="J184" s="28"/>
      <c r="K184" s="34"/>
      <c r="L184" s="27"/>
      <c r="M184" s="34">
        <f t="shared" si="59"/>
        <v>0</v>
      </c>
      <c r="N184" s="34"/>
      <c r="O184" s="34"/>
      <c r="P184" s="215"/>
      <c r="Q184" s="71"/>
      <c r="R184" s="71"/>
    </row>
    <row r="185" spans="2:22" x14ac:dyDescent="0.25">
      <c r="B185" s="139">
        <v>44003</v>
      </c>
      <c r="C185" s="214" t="s">
        <v>6</v>
      </c>
      <c r="D185" s="137"/>
      <c r="E185" s="137"/>
      <c r="F185" s="137"/>
      <c r="G185" s="169"/>
      <c r="H185" s="169" t="b">
        <f t="shared" ref="H185" si="82">IF(G185&gt;$I$6,G185)</f>
        <v>0</v>
      </c>
      <c r="I185" s="171"/>
      <c r="J185" s="171"/>
      <c r="K185" s="169">
        <f t="shared" si="62"/>
        <v>0</v>
      </c>
      <c r="L185" s="172"/>
      <c r="M185" s="169">
        <f t="shared" si="59"/>
        <v>0</v>
      </c>
      <c r="N185" s="169">
        <f t="shared" ref="N185:N245" si="83">M185-$E$6</f>
        <v>-0.29166666666666669</v>
      </c>
      <c r="O185" s="169">
        <f>N185</f>
        <v>-0.29166666666666669</v>
      </c>
      <c r="P185" s="213">
        <f>P182+N185</f>
        <v>-4.9645833333333345</v>
      </c>
      <c r="Q185" s="71"/>
      <c r="R185" s="71"/>
    </row>
    <row r="186" spans="2:22" ht="15.75" thickBot="1" x14ac:dyDescent="0.3">
      <c r="B186" s="139">
        <v>44004</v>
      </c>
      <c r="C186" s="214" t="s">
        <v>7</v>
      </c>
      <c r="D186" s="137"/>
      <c r="E186" s="137"/>
      <c r="F186" s="137"/>
      <c r="G186" s="169">
        <f t="shared" si="74"/>
        <v>0</v>
      </c>
      <c r="H186" s="169" t="b">
        <f t="shared" si="67"/>
        <v>0</v>
      </c>
      <c r="I186" s="171"/>
      <c r="J186" s="171"/>
      <c r="K186" s="169">
        <f t="shared" si="62"/>
        <v>0</v>
      </c>
      <c r="L186" s="172"/>
      <c r="M186" s="169">
        <f t="shared" si="59"/>
        <v>0</v>
      </c>
      <c r="N186" s="169">
        <f t="shared" si="83"/>
        <v>-0.29166666666666669</v>
      </c>
      <c r="O186" s="169">
        <f>O185+N186</f>
        <v>-0.58333333333333337</v>
      </c>
      <c r="P186" s="215">
        <f t="shared" ref="P186:P217" si="84">P185+N186</f>
        <v>-5.2562500000000014</v>
      </c>
      <c r="Q186" s="71"/>
      <c r="R186" s="71"/>
    </row>
    <row r="187" spans="2:22" x14ac:dyDescent="0.25">
      <c r="B187" s="139">
        <v>44005</v>
      </c>
      <c r="C187" s="214" t="s">
        <v>23</v>
      </c>
      <c r="D187" s="137"/>
      <c r="E187" s="137"/>
      <c r="F187" s="137"/>
      <c r="G187" s="169">
        <f t="shared" si="74"/>
        <v>0</v>
      </c>
      <c r="H187" s="169" t="b">
        <f t="shared" si="67"/>
        <v>0</v>
      </c>
      <c r="I187" s="171"/>
      <c r="J187" s="171"/>
      <c r="K187" s="169">
        <f t="shared" si="62"/>
        <v>0</v>
      </c>
      <c r="L187" s="172"/>
      <c r="M187" s="169">
        <f t="shared" si="59"/>
        <v>0</v>
      </c>
      <c r="N187" s="169">
        <f t="shared" si="83"/>
        <v>-0.29166666666666669</v>
      </c>
      <c r="O187" s="169">
        <f>O186+N187</f>
        <v>-0.875</v>
      </c>
      <c r="P187" s="213">
        <f t="shared" si="84"/>
        <v>-5.5479166666666684</v>
      </c>
      <c r="Q187" s="71"/>
      <c r="R187" s="71"/>
    </row>
    <row r="188" spans="2:22" ht="15.75" thickBot="1" x14ac:dyDescent="0.3">
      <c r="B188" s="139">
        <v>44006</v>
      </c>
      <c r="C188" s="214" t="s">
        <v>8</v>
      </c>
      <c r="D188" s="137"/>
      <c r="E188" s="137"/>
      <c r="F188" s="137"/>
      <c r="G188" s="169">
        <f t="shared" si="74"/>
        <v>0</v>
      </c>
      <c r="H188" s="169" t="b">
        <f t="shared" si="67"/>
        <v>0</v>
      </c>
      <c r="I188" s="137"/>
      <c r="J188" s="137"/>
      <c r="K188" s="169">
        <f t="shared" si="62"/>
        <v>0</v>
      </c>
      <c r="L188" s="172"/>
      <c r="M188" s="169">
        <f t="shared" si="59"/>
        <v>0</v>
      </c>
      <c r="N188" s="169">
        <f t="shared" si="83"/>
        <v>-0.29166666666666669</v>
      </c>
      <c r="O188" s="169">
        <f>O187+N188</f>
        <v>-1.1666666666666667</v>
      </c>
      <c r="P188" s="215">
        <f t="shared" si="77"/>
        <v>-5.8395833333333353</v>
      </c>
      <c r="Q188" s="71"/>
      <c r="R188" s="71"/>
    </row>
    <row r="189" spans="2:22" ht="15.75" thickBot="1" x14ac:dyDescent="0.3">
      <c r="B189" s="139">
        <v>44007</v>
      </c>
      <c r="C189" s="214" t="s">
        <v>9</v>
      </c>
      <c r="D189" s="137"/>
      <c r="E189" s="137"/>
      <c r="F189" s="137"/>
      <c r="G189" s="169">
        <f t="shared" si="74"/>
        <v>0</v>
      </c>
      <c r="H189" s="169" t="b">
        <f t="shared" si="70"/>
        <v>0</v>
      </c>
      <c r="I189" s="171"/>
      <c r="J189" s="171"/>
      <c r="K189" s="169">
        <f t="shared" si="62"/>
        <v>0</v>
      </c>
      <c r="L189" s="172"/>
      <c r="M189" s="169">
        <f t="shared" si="59"/>
        <v>0</v>
      </c>
      <c r="N189" s="169">
        <f t="shared" si="83"/>
        <v>-0.29166666666666669</v>
      </c>
      <c r="O189" s="169">
        <f>O188+N189</f>
        <v>-1.4583333333333335</v>
      </c>
      <c r="P189" s="213">
        <f t="shared" si="77"/>
        <v>-6.1312500000000023</v>
      </c>
      <c r="Q189" s="71"/>
      <c r="R189" s="71"/>
    </row>
    <row r="190" spans="2:22" x14ac:dyDescent="0.25">
      <c r="B190" s="139">
        <v>44008</v>
      </c>
      <c r="C190" s="42" t="s">
        <v>21</v>
      </c>
      <c r="D190" s="43"/>
      <c r="E190" s="43"/>
      <c r="F190" s="43"/>
      <c r="G190" s="34"/>
      <c r="H190" s="34"/>
      <c r="I190" s="28"/>
      <c r="J190" s="28"/>
      <c r="K190" s="34"/>
      <c r="L190" s="27"/>
      <c r="M190" s="34">
        <f t="shared" si="59"/>
        <v>0</v>
      </c>
      <c r="N190" s="34"/>
      <c r="O190" s="34"/>
      <c r="P190" s="213"/>
      <c r="Q190" s="72"/>
      <c r="R190" s="72">
        <f t="shared" ref="R190" si="85">Q190/5</f>
        <v>0</v>
      </c>
    </row>
    <row r="191" spans="2:22" ht="15.75" thickBot="1" x14ac:dyDescent="0.3">
      <c r="B191" s="139">
        <v>44009</v>
      </c>
      <c r="C191" s="42" t="s">
        <v>22</v>
      </c>
      <c r="D191" s="43"/>
      <c r="E191" s="43"/>
      <c r="F191" s="43"/>
      <c r="G191" s="34"/>
      <c r="H191" s="34"/>
      <c r="I191" s="28"/>
      <c r="J191" s="28"/>
      <c r="K191" s="34"/>
      <c r="L191" s="27"/>
      <c r="M191" s="34">
        <f t="shared" si="59"/>
        <v>0</v>
      </c>
      <c r="N191" s="34"/>
      <c r="O191" s="34"/>
      <c r="P191" s="215"/>
      <c r="Q191" s="71"/>
      <c r="R191" s="71"/>
    </row>
    <row r="192" spans="2:22" x14ac:dyDescent="0.25">
      <c r="B192" s="139">
        <v>44010</v>
      </c>
      <c r="C192" s="214" t="s">
        <v>6</v>
      </c>
      <c r="D192" s="137"/>
      <c r="E192" s="137"/>
      <c r="F192" s="137"/>
      <c r="G192" s="169"/>
      <c r="H192" s="169" t="b">
        <f t="shared" si="70"/>
        <v>0</v>
      </c>
      <c r="I192" s="171"/>
      <c r="J192" s="171"/>
      <c r="K192" s="169">
        <f t="shared" si="62"/>
        <v>0</v>
      </c>
      <c r="L192" s="172"/>
      <c r="M192" s="169">
        <f t="shared" si="59"/>
        <v>0</v>
      </c>
      <c r="N192" s="169">
        <f t="shared" si="83"/>
        <v>-0.29166666666666669</v>
      </c>
      <c r="O192" s="169">
        <f>N192</f>
        <v>-0.29166666666666669</v>
      </c>
      <c r="P192" s="213">
        <f>P189+N192</f>
        <v>-6.4229166666666693</v>
      </c>
      <c r="Q192" s="71"/>
      <c r="R192" s="71"/>
      <c r="T192" s="178" t="s">
        <v>61</v>
      </c>
      <c r="U192" s="177" t="s">
        <v>71</v>
      </c>
      <c r="V192" s="180" t="s">
        <v>72</v>
      </c>
    </row>
    <row r="193" spans="2:22" ht="15.75" thickBot="1" x14ac:dyDescent="0.3">
      <c r="B193" s="139">
        <v>44011</v>
      </c>
      <c r="C193" s="214" t="s">
        <v>7</v>
      </c>
      <c r="D193" s="137"/>
      <c r="E193" s="137"/>
      <c r="F193" s="137"/>
      <c r="G193" s="169">
        <f t="shared" ref="G193:G217" si="86">F193-E193</f>
        <v>0</v>
      </c>
      <c r="H193" s="169" t="b">
        <f t="shared" ref="H193:H195" si="87">IF(G193&gt;$I$6,G193)</f>
        <v>0</v>
      </c>
      <c r="I193" s="171"/>
      <c r="J193" s="171"/>
      <c r="K193" s="169">
        <f t="shared" si="62"/>
        <v>0</v>
      </c>
      <c r="L193" s="172"/>
      <c r="M193" s="169">
        <f t="shared" si="59"/>
        <v>0</v>
      </c>
      <c r="N193" s="169">
        <f t="shared" si="83"/>
        <v>-0.29166666666666669</v>
      </c>
      <c r="O193" s="169">
        <f>O192+N193</f>
        <v>-0.58333333333333337</v>
      </c>
      <c r="P193" s="215">
        <f t="shared" ref="P193:P224" si="88">P192+N193</f>
        <v>-6.7145833333333362</v>
      </c>
      <c r="Q193" s="71"/>
      <c r="R193" s="71"/>
      <c r="T193" s="179">
        <f>SUM(M164:M193)</f>
        <v>0</v>
      </c>
      <c r="U193" s="165">
        <f>T193/21</f>
        <v>0</v>
      </c>
      <c r="V193" s="181">
        <f>D6*8+E6*11</f>
        <v>5.7583333333333337</v>
      </c>
    </row>
    <row r="194" spans="2:22" x14ac:dyDescent="0.25">
      <c r="B194" s="139">
        <v>44012</v>
      </c>
      <c r="C194" s="214" t="s">
        <v>23</v>
      </c>
      <c r="D194" s="137"/>
      <c r="E194" s="137"/>
      <c r="F194" s="137"/>
      <c r="G194" s="169">
        <f t="shared" si="86"/>
        <v>0</v>
      </c>
      <c r="H194" s="169" t="b">
        <f t="shared" si="87"/>
        <v>0</v>
      </c>
      <c r="I194" s="171"/>
      <c r="J194" s="171"/>
      <c r="K194" s="169">
        <f t="shared" si="62"/>
        <v>0</v>
      </c>
      <c r="L194" s="172"/>
      <c r="M194" s="169">
        <f t="shared" si="59"/>
        <v>0</v>
      </c>
      <c r="N194" s="169">
        <f t="shared" si="83"/>
        <v>-0.29166666666666669</v>
      </c>
      <c r="O194" s="169">
        <f>O193+N194</f>
        <v>-0.875</v>
      </c>
      <c r="P194" s="213">
        <f>N194</f>
        <v>-0.29166666666666669</v>
      </c>
      <c r="Q194" s="71"/>
      <c r="R194" s="71"/>
      <c r="T194" s="164"/>
    </row>
    <row r="195" spans="2:22" ht="15.75" thickBot="1" x14ac:dyDescent="0.3">
      <c r="B195" s="139">
        <v>44013</v>
      </c>
      <c r="C195" s="214" t="s">
        <v>8</v>
      </c>
      <c r="D195" s="137"/>
      <c r="E195" s="137"/>
      <c r="F195" s="137"/>
      <c r="G195" s="169">
        <f t="shared" si="86"/>
        <v>0</v>
      </c>
      <c r="H195" s="169" t="b">
        <f t="shared" si="87"/>
        <v>0</v>
      </c>
      <c r="I195" s="137"/>
      <c r="J195" s="137"/>
      <c r="K195" s="169">
        <f t="shared" si="62"/>
        <v>0</v>
      </c>
      <c r="L195" s="172"/>
      <c r="M195" s="169">
        <f t="shared" si="59"/>
        <v>0</v>
      </c>
      <c r="N195" s="169">
        <f t="shared" si="83"/>
        <v>-0.29166666666666669</v>
      </c>
      <c r="O195" s="169">
        <f>O194+N195</f>
        <v>-1.1666666666666667</v>
      </c>
      <c r="P195" s="215">
        <f t="shared" si="77"/>
        <v>-0.58333333333333337</v>
      </c>
      <c r="Q195" s="71"/>
      <c r="R195" s="71"/>
    </row>
    <row r="196" spans="2:22" ht="15.75" thickBot="1" x14ac:dyDescent="0.3">
      <c r="B196" s="139">
        <v>44014</v>
      </c>
      <c r="C196" s="214" t="s">
        <v>9</v>
      </c>
      <c r="D196" s="137"/>
      <c r="E196" s="137"/>
      <c r="F196" s="137"/>
      <c r="G196" s="169">
        <f t="shared" si="86"/>
        <v>0</v>
      </c>
      <c r="H196" s="169" t="b">
        <f t="shared" si="67"/>
        <v>0</v>
      </c>
      <c r="I196" s="171"/>
      <c r="J196" s="171"/>
      <c r="K196" s="169">
        <f t="shared" si="62"/>
        <v>0</v>
      </c>
      <c r="L196" s="172"/>
      <c r="M196" s="169">
        <f t="shared" si="59"/>
        <v>0</v>
      </c>
      <c r="N196" s="169">
        <f t="shared" si="83"/>
        <v>-0.29166666666666669</v>
      </c>
      <c r="O196" s="169">
        <f>O195+N196</f>
        <v>-1.4583333333333335</v>
      </c>
      <c r="P196" s="213">
        <f t="shared" si="77"/>
        <v>-0.875</v>
      </c>
      <c r="Q196" s="71"/>
      <c r="R196" s="71"/>
    </row>
    <row r="197" spans="2:22" x14ac:dyDescent="0.25">
      <c r="B197" s="139">
        <v>44015</v>
      </c>
      <c r="C197" s="42" t="s">
        <v>21</v>
      </c>
      <c r="D197" s="43"/>
      <c r="E197" s="43"/>
      <c r="F197" s="43"/>
      <c r="G197" s="34"/>
      <c r="H197" s="34"/>
      <c r="I197" s="28"/>
      <c r="J197" s="28"/>
      <c r="K197" s="34"/>
      <c r="L197" s="27"/>
      <c r="M197" s="34">
        <f t="shared" si="59"/>
        <v>0</v>
      </c>
      <c r="N197" s="34"/>
      <c r="O197" s="34"/>
      <c r="P197" s="213"/>
      <c r="Q197" s="72"/>
      <c r="R197" s="72">
        <f t="shared" ref="R197" si="89">Q197/5</f>
        <v>0</v>
      </c>
    </row>
    <row r="198" spans="2:22" ht="15.75" thickBot="1" x14ac:dyDescent="0.3">
      <c r="B198" s="139">
        <v>44016</v>
      </c>
      <c r="C198" s="42" t="s">
        <v>22</v>
      </c>
      <c r="D198" s="43"/>
      <c r="E198" s="43"/>
      <c r="F198" s="43"/>
      <c r="G198" s="34"/>
      <c r="H198" s="34"/>
      <c r="I198" s="28"/>
      <c r="J198" s="28"/>
      <c r="K198" s="34"/>
      <c r="L198" s="27"/>
      <c r="M198" s="34">
        <f t="shared" si="59"/>
        <v>0</v>
      </c>
      <c r="N198" s="34"/>
      <c r="O198" s="34"/>
      <c r="P198" s="215"/>
      <c r="Q198" s="71"/>
      <c r="R198" s="71"/>
    </row>
    <row r="199" spans="2:22" x14ac:dyDescent="0.25">
      <c r="B199" s="139">
        <v>44017</v>
      </c>
      <c r="C199" s="214" t="s">
        <v>6</v>
      </c>
      <c r="D199" s="137"/>
      <c r="E199" s="137"/>
      <c r="F199" s="137"/>
      <c r="G199" s="169"/>
      <c r="H199" s="169" t="b">
        <f t="shared" si="70"/>
        <v>0</v>
      </c>
      <c r="I199" s="171"/>
      <c r="J199" s="171"/>
      <c r="K199" s="169">
        <f t="shared" si="62"/>
        <v>0</v>
      </c>
      <c r="L199" s="172"/>
      <c r="M199" s="169">
        <f t="shared" si="59"/>
        <v>0</v>
      </c>
      <c r="N199" s="169">
        <f t="shared" si="83"/>
        <v>-0.29166666666666669</v>
      </c>
      <c r="O199" s="169">
        <f>N199</f>
        <v>-0.29166666666666669</v>
      </c>
      <c r="P199" s="213">
        <f>P196+N199</f>
        <v>-1.1666666666666667</v>
      </c>
      <c r="Q199" s="71"/>
      <c r="R199" s="71"/>
    </row>
    <row r="200" spans="2:22" ht="15.75" thickBot="1" x14ac:dyDescent="0.3">
      <c r="B200" s="139">
        <v>44018</v>
      </c>
      <c r="C200" s="214" t="s">
        <v>7</v>
      </c>
      <c r="D200" s="137"/>
      <c r="E200" s="137"/>
      <c r="F200" s="137"/>
      <c r="G200" s="169">
        <f t="shared" si="86"/>
        <v>0</v>
      </c>
      <c r="H200" s="169" t="b">
        <f t="shared" si="70"/>
        <v>0</v>
      </c>
      <c r="I200" s="171"/>
      <c r="J200" s="171"/>
      <c r="K200" s="169">
        <f t="shared" si="62"/>
        <v>0</v>
      </c>
      <c r="L200" s="172"/>
      <c r="M200" s="169">
        <f t="shared" si="59"/>
        <v>0</v>
      </c>
      <c r="N200" s="169">
        <f t="shared" si="83"/>
        <v>-0.29166666666666669</v>
      </c>
      <c r="O200" s="169">
        <f>O199+N200</f>
        <v>-0.58333333333333337</v>
      </c>
      <c r="P200" s="215">
        <f t="shared" ref="P200:P231" si="90">P199+N200</f>
        <v>-1.4583333333333335</v>
      </c>
      <c r="Q200" s="71"/>
      <c r="R200" s="71"/>
    </row>
    <row r="201" spans="2:22" x14ac:dyDescent="0.25">
      <c r="B201" s="139">
        <v>44019</v>
      </c>
      <c r="C201" s="214" t="s">
        <v>23</v>
      </c>
      <c r="D201" s="137"/>
      <c r="E201" s="137"/>
      <c r="F201" s="137"/>
      <c r="G201" s="169">
        <f t="shared" si="86"/>
        <v>0</v>
      </c>
      <c r="H201" s="169" t="b">
        <f t="shared" si="70"/>
        <v>0</v>
      </c>
      <c r="I201" s="171"/>
      <c r="J201" s="171"/>
      <c r="K201" s="169">
        <f t="shared" si="62"/>
        <v>0</v>
      </c>
      <c r="L201" s="172"/>
      <c r="M201" s="169">
        <f t="shared" si="59"/>
        <v>0</v>
      </c>
      <c r="N201" s="169">
        <f t="shared" si="83"/>
        <v>-0.29166666666666669</v>
      </c>
      <c r="O201" s="169">
        <f>O200+N201</f>
        <v>-0.875</v>
      </c>
      <c r="P201" s="213">
        <f t="shared" si="90"/>
        <v>-1.7500000000000002</v>
      </c>
      <c r="Q201" s="71"/>
      <c r="R201" s="71"/>
    </row>
    <row r="202" spans="2:22" ht="15.75" thickBot="1" x14ac:dyDescent="0.3">
      <c r="B202" s="139">
        <v>44020</v>
      </c>
      <c r="C202" s="214" t="s">
        <v>8</v>
      </c>
      <c r="D202" s="137"/>
      <c r="E202" s="137"/>
      <c r="F202" s="137"/>
      <c r="G202" s="169">
        <f t="shared" si="86"/>
        <v>0</v>
      </c>
      <c r="H202" s="169" t="b">
        <f t="shared" si="70"/>
        <v>0</v>
      </c>
      <c r="I202" s="137"/>
      <c r="J202" s="137"/>
      <c r="K202" s="169">
        <f t="shared" si="62"/>
        <v>0</v>
      </c>
      <c r="L202" s="172"/>
      <c r="M202" s="169">
        <f t="shared" si="59"/>
        <v>0</v>
      </c>
      <c r="N202" s="169">
        <f t="shared" si="83"/>
        <v>-0.29166666666666669</v>
      </c>
      <c r="O202" s="169">
        <f>O201+N202</f>
        <v>-1.1666666666666667</v>
      </c>
      <c r="P202" s="215">
        <f t="shared" si="77"/>
        <v>-2.041666666666667</v>
      </c>
      <c r="Q202" s="71"/>
      <c r="R202" s="71"/>
    </row>
    <row r="203" spans="2:22" ht="15.75" thickBot="1" x14ac:dyDescent="0.3">
      <c r="B203" s="139">
        <v>44021</v>
      </c>
      <c r="C203" s="214" t="s">
        <v>9</v>
      </c>
      <c r="D203" s="137"/>
      <c r="E203" s="137"/>
      <c r="F203" s="137"/>
      <c r="G203" s="169">
        <f t="shared" si="86"/>
        <v>0</v>
      </c>
      <c r="H203" s="169" t="b">
        <f t="shared" ref="H203" si="91">IF(G203&gt;$I$6,G203)</f>
        <v>0</v>
      </c>
      <c r="I203" s="171"/>
      <c r="J203" s="171"/>
      <c r="K203" s="169">
        <f t="shared" si="62"/>
        <v>0</v>
      </c>
      <c r="L203" s="172"/>
      <c r="M203" s="169">
        <f t="shared" si="59"/>
        <v>0</v>
      </c>
      <c r="N203" s="169">
        <f t="shared" si="83"/>
        <v>-0.29166666666666669</v>
      </c>
      <c r="O203" s="169">
        <f>O202+N203</f>
        <v>-1.4583333333333335</v>
      </c>
      <c r="P203" s="213">
        <f t="shared" si="77"/>
        <v>-2.3333333333333335</v>
      </c>
      <c r="Q203" s="71"/>
      <c r="R203" s="71"/>
    </row>
    <row r="204" spans="2:22" x14ac:dyDescent="0.25">
      <c r="B204" s="139">
        <v>44022</v>
      </c>
      <c r="C204" s="42" t="s">
        <v>21</v>
      </c>
      <c r="D204" s="43"/>
      <c r="E204" s="43"/>
      <c r="F204" s="43"/>
      <c r="G204" s="34"/>
      <c r="H204" s="34"/>
      <c r="I204" s="28"/>
      <c r="J204" s="28"/>
      <c r="K204" s="34"/>
      <c r="L204" s="27"/>
      <c r="M204" s="34">
        <f t="shared" si="59"/>
        <v>0</v>
      </c>
      <c r="N204" s="34"/>
      <c r="O204" s="34"/>
      <c r="P204" s="213"/>
      <c r="Q204" s="72"/>
      <c r="R204" s="72">
        <f t="shared" ref="R204" si="92">Q204/5</f>
        <v>0</v>
      </c>
    </row>
    <row r="205" spans="2:22" ht="15.75" thickBot="1" x14ac:dyDescent="0.3">
      <c r="B205" s="139">
        <v>44023</v>
      </c>
      <c r="C205" s="42" t="s">
        <v>22</v>
      </c>
      <c r="D205" s="43"/>
      <c r="E205" s="43"/>
      <c r="F205" s="43"/>
      <c r="G205" s="34"/>
      <c r="H205" s="34"/>
      <c r="I205" s="28"/>
      <c r="J205" s="28"/>
      <c r="K205" s="34"/>
      <c r="L205" s="27"/>
      <c r="M205" s="34">
        <f t="shared" ref="M205:M268" si="93">(L205-D205)-H205-K205</f>
        <v>0</v>
      </c>
      <c r="N205" s="34"/>
      <c r="O205" s="34"/>
      <c r="P205" s="215"/>
      <c r="Q205" s="71"/>
      <c r="R205" s="71"/>
    </row>
    <row r="206" spans="2:22" x14ac:dyDescent="0.25">
      <c r="B206" s="139">
        <v>44024</v>
      </c>
      <c r="C206" s="214" t="s">
        <v>6</v>
      </c>
      <c r="D206" s="137"/>
      <c r="E206" s="137"/>
      <c r="F206" s="137"/>
      <c r="G206" s="169"/>
      <c r="H206" s="169" t="b">
        <f t="shared" si="67"/>
        <v>0</v>
      </c>
      <c r="I206" s="171"/>
      <c r="J206" s="171"/>
      <c r="K206" s="169">
        <f t="shared" ref="K206:K266" si="94">J206-I206</f>
        <v>0</v>
      </c>
      <c r="L206" s="172"/>
      <c r="M206" s="169">
        <f t="shared" si="93"/>
        <v>0</v>
      </c>
      <c r="N206" s="169">
        <f t="shared" si="83"/>
        <v>-0.29166666666666669</v>
      </c>
      <c r="O206" s="169">
        <f>N206</f>
        <v>-0.29166666666666669</v>
      </c>
      <c r="P206" s="213">
        <f>P203+N206</f>
        <v>-2.625</v>
      </c>
      <c r="Q206" s="71"/>
      <c r="R206" s="71"/>
    </row>
    <row r="207" spans="2:22" ht="15.75" thickBot="1" x14ac:dyDescent="0.3">
      <c r="B207" s="139">
        <v>44025</v>
      </c>
      <c r="C207" s="214" t="s">
        <v>7</v>
      </c>
      <c r="D207" s="137"/>
      <c r="E207" s="137"/>
      <c r="F207" s="137"/>
      <c r="G207" s="169">
        <f t="shared" si="86"/>
        <v>0</v>
      </c>
      <c r="H207" s="169" t="b">
        <f t="shared" si="67"/>
        <v>0</v>
      </c>
      <c r="I207" s="171"/>
      <c r="J207" s="171"/>
      <c r="K207" s="169">
        <f t="shared" si="94"/>
        <v>0</v>
      </c>
      <c r="L207" s="172"/>
      <c r="M207" s="169">
        <f t="shared" si="93"/>
        <v>0</v>
      </c>
      <c r="N207" s="169">
        <f t="shared" si="83"/>
        <v>-0.29166666666666669</v>
      </c>
      <c r="O207" s="169">
        <f>O206+N207</f>
        <v>-0.58333333333333337</v>
      </c>
      <c r="P207" s="215">
        <f t="shared" ref="P207:P238" si="95">P206+N207</f>
        <v>-2.9166666666666665</v>
      </c>
      <c r="Q207" s="71"/>
      <c r="R207" s="71"/>
    </row>
    <row r="208" spans="2:22" x14ac:dyDescent="0.25">
      <c r="B208" s="139">
        <v>44026</v>
      </c>
      <c r="C208" s="214" t="s">
        <v>23</v>
      </c>
      <c r="D208" s="137"/>
      <c r="E208" s="137"/>
      <c r="F208" s="137"/>
      <c r="G208" s="169">
        <f t="shared" si="86"/>
        <v>0</v>
      </c>
      <c r="H208" s="169" t="b">
        <f t="shared" si="67"/>
        <v>0</v>
      </c>
      <c r="I208" s="171"/>
      <c r="J208" s="171"/>
      <c r="K208" s="169">
        <f t="shared" si="94"/>
        <v>0</v>
      </c>
      <c r="L208" s="172"/>
      <c r="M208" s="169">
        <f t="shared" si="93"/>
        <v>0</v>
      </c>
      <c r="N208" s="169">
        <f t="shared" si="83"/>
        <v>-0.29166666666666669</v>
      </c>
      <c r="O208" s="169">
        <f>O207+N208</f>
        <v>-0.875</v>
      </c>
      <c r="P208" s="213">
        <f t="shared" si="95"/>
        <v>-3.208333333333333</v>
      </c>
      <c r="Q208" s="71"/>
      <c r="R208" s="71"/>
    </row>
    <row r="209" spans="2:18" ht="15.75" thickBot="1" x14ac:dyDescent="0.3">
      <c r="B209" s="139">
        <v>44027</v>
      </c>
      <c r="C209" s="214" t="s">
        <v>8</v>
      </c>
      <c r="D209" s="137"/>
      <c r="E209" s="137"/>
      <c r="F209" s="137"/>
      <c r="G209" s="169">
        <f t="shared" si="86"/>
        <v>0</v>
      </c>
      <c r="H209" s="169" t="b">
        <f t="shared" si="70"/>
        <v>0</v>
      </c>
      <c r="I209" s="137"/>
      <c r="J209" s="137"/>
      <c r="K209" s="169">
        <f t="shared" si="94"/>
        <v>0</v>
      </c>
      <c r="L209" s="172"/>
      <c r="M209" s="169">
        <f t="shared" si="93"/>
        <v>0</v>
      </c>
      <c r="N209" s="169">
        <f t="shared" si="83"/>
        <v>-0.29166666666666669</v>
      </c>
      <c r="O209" s="169">
        <f>O208+N209</f>
        <v>-1.1666666666666667</v>
      </c>
      <c r="P209" s="215">
        <f t="shared" si="77"/>
        <v>-3.4999999999999996</v>
      </c>
      <c r="Q209" s="71"/>
      <c r="R209" s="71"/>
    </row>
    <row r="210" spans="2:18" ht="15.75" thickBot="1" x14ac:dyDescent="0.3">
      <c r="B210" s="139">
        <v>44028</v>
      </c>
      <c r="C210" s="214" t="s">
        <v>9</v>
      </c>
      <c r="D210" s="137"/>
      <c r="E210" s="137"/>
      <c r="F210" s="137"/>
      <c r="G210" s="169">
        <f t="shared" si="86"/>
        <v>0</v>
      </c>
      <c r="H210" s="169" t="b">
        <f t="shared" si="70"/>
        <v>0</v>
      </c>
      <c r="I210" s="171"/>
      <c r="J210" s="171"/>
      <c r="K210" s="169">
        <f t="shared" si="94"/>
        <v>0</v>
      </c>
      <c r="L210" s="172"/>
      <c r="M210" s="169">
        <f t="shared" si="93"/>
        <v>0</v>
      </c>
      <c r="N210" s="169">
        <f t="shared" si="83"/>
        <v>-0.29166666666666669</v>
      </c>
      <c r="O210" s="169">
        <f>O209+N210</f>
        <v>-1.4583333333333335</v>
      </c>
      <c r="P210" s="213">
        <f t="shared" si="77"/>
        <v>-3.7916666666666661</v>
      </c>
      <c r="Q210" s="71"/>
      <c r="R210" s="71"/>
    </row>
    <row r="211" spans="2:18" x14ac:dyDescent="0.25">
      <c r="B211" s="139">
        <v>44029</v>
      </c>
      <c r="C211" s="42" t="s">
        <v>21</v>
      </c>
      <c r="D211" s="43"/>
      <c r="E211" s="43"/>
      <c r="F211" s="43"/>
      <c r="G211" s="34"/>
      <c r="H211" s="34"/>
      <c r="I211" s="28"/>
      <c r="J211" s="28"/>
      <c r="K211" s="34"/>
      <c r="L211" s="27"/>
      <c r="M211" s="34">
        <f t="shared" si="93"/>
        <v>0</v>
      </c>
      <c r="N211" s="34"/>
      <c r="O211" s="34"/>
      <c r="P211" s="213"/>
      <c r="Q211" s="72"/>
      <c r="R211" s="72">
        <f t="shared" ref="R211" si="96">Q211/5</f>
        <v>0</v>
      </c>
    </row>
    <row r="212" spans="2:18" ht="15.75" thickBot="1" x14ac:dyDescent="0.3">
      <c r="B212" s="139">
        <v>44030</v>
      </c>
      <c r="C212" s="42" t="s">
        <v>22</v>
      </c>
      <c r="D212" s="43"/>
      <c r="E212" s="43"/>
      <c r="F212" s="43"/>
      <c r="G212" s="34"/>
      <c r="H212" s="34"/>
      <c r="I212" s="28"/>
      <c r="J212" s="28"/>
      <c r="K212" s="34"/>
      <c r="L212" s="27"/>
      <c r="M212" s="34">
        <f t="shared" si="93"/>
        <v>0</v>
      </c>
      <c r="N212" s="34"/>
      <c r="O212" s="34"/>
      <c r="P212" s="215"/>
      <c r="Q212" s="71"/>
      <c r="R212" s="71"/>
    </row>
    <row r="213" spans="2:18" x14ac:dyDescent="0.25">
      <c r="B213" s="139">
        <v>44031</v>
      </c>
      <c r="C213" s="214" t="s">
        <v>6</v>
      </c>
      <c r="D213" s="137"/>
      <c r="E213" s="137"/>
      <c r="F213" s="137"/>
      <c r="G213" s="169"/>
      <c r="H213" s="169" t="b">
        <f t="shared" ref="H213:H215" si="97">IF(G213&gt;$I$6,G213)</f>
        <v>0</v>
      </c>
      <c r="I213" s="171"/>
      <c r="J213" s="171"/>
      <c r="K213" s="169">
        <f t="shared" si="94"/>
        <v>0</v>
      </c>
      <c r="L213" s="172"/>
      <c r="M213" s="169">
        <f t="shared" si="93"/>
        <v>0</v>
      </c>
      <c r="N213" s="169">
        <f t="shared" si="83"/>
        <v>-0.29166666666666669</v>
      </c>
      <c r="O213" s="169">
        <f>N213</f>
        <v>-0.29166666666666669</v>
      </c>
      <c r="P213" s="213">
        <f>P210+N213</f>
        <v>-4.083333333333333</v>
      </c>
      <c r="Q213" s="71"/>
      <c r="R213" s="71"/>
    </row>
    <row r="214" spans="2:18" ht="15.75" thickBot="1" x14ac:dyDescent="0.3">
      <c r="B214" s="139">
        <v>44032</v>
      </c>
      <c r="C214" s="214" t="s">
        <v>7</v>
      </c>
      <c r="D214" s="137"/>
      <c r="E214" s="137"/>
      <c r="F214" s="137"/>
      <c r="G214" s="169">
        <f t="shared" si="86"/>
        <v>0</v>
      </c>
      <c r="H214" s="169" t="b">
        <f t="shared" si="97"/>
        <v>0</v>
      </c>
      <c r="I214" s="171"/>
      <c r="J214" s="171"/>
      <c r="K214" s="169">
        <f t="shared" si="94"/>
        <v>0</v>
      </c>
      <c r="L214" s="172"/>
      <c r="M214" s="169">
        <f t="shared" si="93"/>
        <v>0</v>
      </c>
      <c r="N214" s="169">
        <f t="shared" si="83"/>
        <v>-0.29166666666666669</v>
      </c>
      <c r="O214" s="169">
        <f>O213+N214</f>
        <v>-0.58333333333333337</v>
      </c>
      <c r="P214" s="215">
        <f t="shared" ref="P214:P245" si="98">P213+N214</f>
        <v>-4.375</v>
      </c>
      <c r="Q214" s="71"/>
      <c r="R214" s="71"/>
    </row>
    <row r="215" spans="2:18" x14ac:dyDescent="0.25">
      <c r="B215" s="139">
        <v>44033</v>
      </c>
      <c r="C215" s="214" t="s">
        <v>23</v>
      </c>
      <c r="D215" s="137"/>
      <c r="E215" s="137"/>
      <c r="F215" s="137"/>
      <c r="G215" s="169">
        <f t="shared" si="86"/>
        <v>0</v>
      </c>
      <c r="H215" s="169" t="b">
        <f t="shared" si="97"/>
        <v>0</v>
      </c>
      <c r="I215" s="171"/>
      <c r="J215" s="171"/>
      <c r="K215" s="169">
        <f t="shared" si="94"/>
        <v>0</v>
      </c>
      <c r="L215" s="172"/>
      <c r="M215" s="169">
        <f t="shared" si="93"/>
        <v>0</v>
      </c>
      <c r="N215" s="169">
        <f t="shared" si="83"/>
        <v>-0.29166666666666669</v>
      </c>
      <c r="O215" s="169">
        <f>O214+N215</f>
        <v>-0.875</v>
      </c>
      <c r="P215" s="213">
        <f t="shared" si="98"/>
        <v>-4.666666666666667</v>
      </c>
      <c r="Q215" s="71"/>
      <c r="R215" s="71"/>
    </row>
    <row r="216" spans="2:18" ht="15.75" thickBot="1" x14ac:dyDescent="0.3">
      <c r="B216" s="139">
        <v>44034</v>
      </c>
      <c r="C216" s="214" t="s">
        <v>8</v>
      </c>
      <c r="D216" s="137"/>
      <c r="E216" s="137"/>
      <c r="F216" s="137"/>
      <c r="G216" s="169">
        <f t="shared" si="86"/>
        <v>0</v>
      </c>
      <c r="H216" s="169" t="b">
        <f t="shared" si="67"/>
        <v>0</v>
      </c>
      <c r="I216" s="137"/>
      <c r="J216" s="137"/>
      <c r="K216" s="169">
        <f t="shared" si="94"/>
        <v>0</v>
      </c>
      <c r="L216" s="172"/>
      <c r="M216" s="169">
        <f t="shared" si="93"/>
        <v>0</v>
      </c>
      <c r="N216" s="169">
        <f t="shared" si="83"/>
        <v>-0.29166666666666669</v>
      </c>
      <c r="O216" s="169">
        <f>O215+N216</f>
        <v>-1.1666666666666667</v>
      </c>
      <c r="P216" s="215">
        <f t="shared" si="77"/>
        <v>-4.9583333333333339</v>
      </c>
      <c r="Q216" s="71"/>
      <c r="R216" s="71"/>
    </row>
    <row r="217" spans="2:18" ht="15.75" thickBot="1" x14ac:dyDescent="0.3">
      <c r="B217" s="139">
        <v>44035</v>
      </c>
      <c r="C217" s="214" t="s">
        <v>9</v>
      </c>
      <c r="D217" s="137"/>
      <c r="E217" s="137"/>
      <c r="F217" s="137"/>
      <c r="G217" s="169">
        <f t="shared" si="86"/>
        <v>0</v>
      </c>
      <c r="H217" s="169" t="b">
        <f t="shared" ref="H217:H278" si="99">IF(G217&gt;$I$6,G217)</f>
        <v>0</v>
      </c>
      <c r="I217" s="171"/>
      <c r="J217" s="171"/>
      <c r="K217" s="169">
        <f t="shared" si="94"/>
        <v>0</v>
      </c>
      <c r="L217" s="172"/>
      <c r="M217" s="169">
        <f t="shared" si="93"/>
        <v>0</v>
      </c>
      <c r="N217" s="169">
        <f t="shared" si="83"/>
        <v>-0.29166666666666669</v>
      </c>
      <c r="O217" s="169">
        <f>O216+N217</f>
        <v>-1.4583333333333335</v>
      </c>
      <c r="P217" s="213">
        <f t="shared" si="77"/>
        <v>-5.2500000000000009</v>
      </c>
      <c r="Q217" s="71"/>
      <c r="R217" s="71"/>
    </row>
    <row r="218" spans="2:18" x14ac:dyDescent="0.25">
      <c r="B218" s="139">
        <v>44036</v>
      </c>
      <c r="C218" s="42" t="s">
        <v>21</v>
      </c>
      <c r="D218" s="43"/>
      <c r="E218" s="43"/>
      <c r="F218" s="43"/>
      <c r="G218" s="34"/>
      <c r="H218" s="34"/>
      <c r="I218" s="28"/>
      <c r="J218" s="28"/>
      <c r="K218" s="34"/>
      <c r="L218" s="27"/>
      <c r="M218" s="34">
        <f t="shared" si="93"/>
        <v>0</v>
      </c>
      <c r="N218" s="34"/>
      <c r="O218" s="34"/>
      <c r="P218" s="213"/>
      <c r="Q218" s="72"/>
      <c r="R218" s="72">
        <f t="shared" ref="R218" si="100">Q218/5</f>
        <v>0</v>
      </c>
    </row>
    <row r="219" spans="2:18" ht="15.75" thickBot="1" x14ac:dyDescent="0.3">
      <c r="B219" s="139">
        <v>44037</v>
      </c>
      <c r="C219" s="42" t="s">
        <v>22</v>
      </c>
      <c r="D219" s="43"/>
      <c r="E219" s="43"/>
      <c r="F219" s="43"/>
      <c r="G219" s="34"/>
      <c r="H219" s="34"/>
      <c r="I219" s="28"/>
      <c r="J219" s="28"/>
      <c r="K219" s="34"/>
      <c r="L219" s="27"/>
      <c r="M219" s="34">
        <f t="shared" si="93"/>
        <v>0</v>
      </c>
      <c r="N219" s="34"/>
      <c r="O219" s="34"/>
      <c r="P219" s="215"/>
      <c r="Q219" s="71"/>
      <c r="R219" s="71"/>
    </row>
    <row r="220" spans="2:18" x14ac:dyDescent="0.25">
      <c r="B220" s="139">
        <v>44038</v>
      </c>
      <c r="C220" s="214" t="s">
        <v>6</v>
      </c>
      <c r="D220" s="137"/>
      <c r="E220" s="137"/>
      <c r="F220" s="137"/>
      <c r="G220" s="169"/>
      <c r="H220" s="169" t="b">
        <f t="shared" si="70"/>
        <v>0</v>
      </c>
      <c r="I220" s="171"/>
      <c r="J220" s="171"/>
      <c r="K220" s="169">
        <f t="shared" si="94"/>
        <v>0</v>
      </c>
      <c r="L220" s="172"/>
      <c r="M220" s="169">
        <f t="shared" si="93"/>
        <v>0</v>
      </c>
      <c r="N220" s="169">
        <f t="shared" si="83"/>
        <v>-0.29166666666666669</v>
      </c>
      <c r="O220" s="169">
        <f>N220</f>
        <v>-0.29166666666666669</v>
      </c>
      <c r="P220" s="213">
        <f>P217+N220</f>
        <v>-5.5416666666666679</v>
      </c>
      <c r="Q220" s="71"/>
      <c r="R220" s="71"/>
    </row>
    <row r="221" spans="2:18" ht="15.75" thickBot="1" x14ac:dyDescent="0.3">
      <c r="B221" s="139">
        <v>44039</v>
      </c>
      <c r="C221" s="214" t="s">
        <v>7</v>
      </c>
      <c r="D221" s="137"/>
      <c r="E221" s="137"/>
      <c r="F221" s="137"/>
      <c r="G221" s="169">
        <f t="shared" ref="G221:G252" si="101">F221-E221</f>
        <v>0</v>
      </c>
      <c r="H221" s="169" t="b">
        <f t="shared" si="70"/>
        <v>0</v>
      </c>
      <c r="I221" s="171"/>
      <c r="J221" s="171"/>
      <c r="K221" s="169">
        <f t="shared" si="94"/>
        <v>0</v>
      </c>
      <c r="L221" s="172"/>
      <c r="M221" s="169">
        <f t="shared" si="93"/>
        <v>0</v>
      </c>
      <c r="N221" s="169">
        <f t="shared" si="83"/>
        <v>-0.29166666666666669</v>
      </c>
      <c r="O221" s="169">
        <f>O220+N221</f>
        <v>-0.58333333333333337</v>
      </c>
      <c r="P221" s="215">
        <f t="shared" ref="P221:P252" si="102">P220+N221</f>
        <v>-5.8333333333333348</v>
      </c>
      <c r="Q221" s="71"/>
      <c r="R221" s="71"/>
    </row>
    <row r="222" spans="2:18" x14ac:dyDescent="0.25">
      <c r="B222" s="139">
        <v>44040</v>
      </c>
      <c r="C222" s="214" t="s">
        <v>23</v>
      </c>
      <c r="D222" s="137"/>
      <c r="E222" s="137"/>
      <c r="F222" s="137"/>
      <c r="G222" s="169">
        <f t="shared" si="101"/>
        <v>0</v>
      </c>
      <c r="H222" s="169" t="b">
        <f t="shared" si="70"/>
        <v>0</v>
      </c>
      <c r="I222" s="171"/>
      <c r="J222" s="171"/>
      <c r="K222" s="169">
        <f t="shared" si="94"/>
        <v>0</v>
      </c>
      <c r="L222" s="172"/>
      <c r="M222" s="169">
        <f t="shared" si="93"/>
        <v>0</v>
      </c>
      <c r="N222" s="169">
        <f t="shared" si="83"/>
        <v>-0.29166666666666669</v>
      </c>
      <c r="O222" s="169">
        <f>O221+N222</f>
        <v>-0.875</v>
      </c>
      <c r="P222" s="213">
        <f t="shared" si="102"/>
        <v>-6.1250000000000018</v>
      </c>
      <c r="Q222" s="71"/>
      <c r="R222" s="71"/>
    </row>
    <row r="223" spans="2:18" ht="15.75" thickBot="1" x14ac:dyDescent="0.3">
      <c r="B223" s="139">
        <v>44041</v>
      </c>
      <c r="C223" s="214" t="s">
        <v>8</v>
      </c>
      <c r="D223" s="137"/>
      <c r="E223" s="137"/>
      <c r="F223" s="137"/>
      <c r="G223" s="169">
        <f t="shared" si="101"/>
        <v>0</v>
      </c>
      <c r="H223" s="169" t="b">
        <f t="shared" ref="H223:H224" si="103">IF(G223&gt;$I$6,G223)</f>
        <v>0</v>
      </c>
      <c r="I223" s="137"/>
      <c r="J223" s="137"/>
      <c r="K223" s="169">
        <f t="shared" si="94"/>
        <v>0</v>
      </c>
      <c r="L223" s="172"/>
      <c r="M223" s="169">
        <f t="shared" si="93"/>
        <v>0</v>
      </c>
      <c r="N223" s="169">
        <f t="shared" si="83"/>
        <v>-0.29166666666666669</v>
      </c>
      <c r="O223" s="169">
        <f>O222+N223</f>
        <v>-1.1666666666666667</v>
      </c>
      <c r="P223" s="215">
        <f t="shared" si="77"/>
        <v>-6.4166666666666687</v>
      </c>
      <c r="Q223" s="71"/>
      <c r="R223" s="71"/>
    </row>
    <row r="224" spans="2:18" ht="15.75" thickBot="1" x14ac:dyDescent="0.3">
      <c r="B224" s="139">
        <v>44042</v>
      </c>
      <c r="C224" s="214" t="s">
        <v>9</v>
      </c>
      <c r="D224" s="137"/>
      <c r="E224" s="137"/>
      <c r="F224" s="137"/>
      <c r="G224" s="169">
        <f t="shared" si="101"/>
        <v>0</v>
      </c>
      <c r="H224" s="169" t="b">
        <f t="shared" si="103"/>
        <v>0</v>
      </c>
      <c r="I224" s="171"/>
      <c r="J224" s="171"/>
      <c r="K224" s="169">
        <f t="shared" si="94"/>
        <v>0</v>
      </c>
      <c r="L224" s="172"/>
      <c r="M224" s="169">
        <f t="shared" si="93"/>
        <v>0</v>
      </c>
      <c r="N224" s="169">
        <f t="shared" si="83"/>
        <v>-0.29166666666666669</v>
      </c>
      <c r="O224" s="169">
        <f>O223+N224</f>
        <v>-1.4583333333333335</v>
      </c>
      <c r="P224" s="213">
        <f t="shared" si="77"/>
        <v>-6.7083333333333357</v>
      </c>
      <c r="Q224" s="71"/>
      <c r="R224" s="71"/>
    </row>
    <row r="225" spans="2:18" x14ac:dyDescent="0.25">
      <c r="B225" s="139">
        <v>44043</v>
      </c>
      <c r="C225" s="42" t="s">
        <v>21</v>
      </c>
      <c r="D225" s="43"/>
      <c r="E225" s="43"/>
      <c r="F225" s="43"/>
      <c r="G225" s="34"/>
      <c r="H225" s="34"/>
      <c r="I225" s="28"/>
      <c r="J225" s="28"/>
      <c r="K225" s="34"/>
      <c r="L225" s="27"/>
      <c r="M225" s="34">
        <f t="shared" si="93"/>
        <v>0</v>
      </c>
      <c r="N225" s="34"/>
      <c r="O225" s="34"/>
      <c r="P225" s="213"/>
      <c r="Q225" s="72"/>
      <c r="R225" s="72">
        <f t="shared" ref="R225" si="104">Q225/5</f>
        <v>0</v>
      </c>
    </row>
    <row r="226" spans="2:18" ht="15.75" thickBot="1" x14ac:dyDescent="0.3">
      <c r="B226" s="139">
        <v>44044</v>
      </c>
      <c r="C226" s="42" t="s">
        <v>22</v>
      </c>
      <c r="D226" s="43"/>
      <c r="E226" s="43"/>
      <c r="F226" s="43"/>
      <c r="G226" s="34"/>
      <c r="H226" s="34"/>
      <c r="I226" s="28"/>
      <c r="J226" s="28"/>
      <c r="K226" s="34"/>
      <c r="L226" s="27"/>
      <c r="M226" s="34">
        <f t="shared" si="93"/>
        <v>0</v>
      </c>
      <c r="N226" s="34"/>
      <c r="O226" s="34"/>
      <c r="P226" s="215"/>
      <c r="Q226" s="71"/>
      <c r="R226" s="71"/>
    </row>
    <row r="227" spans="2:18" x14ac:dyDescent="0.25">
      <c r="B227" s="139">
        <v>44045</v>
      </c>
      <c r="C227" s="214" t="s">
        <v>6</v>
      </c>
      <c r="D227" s="137"/>
      <c r="E227" s="137"/>
      <c r="F227" s="137"/>
      <c r="G227" s="169"/>
      <c r="H227" s="169" t="b">
        <f t="shared" si="99"/>
        <v>0</v>
      </c>
      <c r="I227" s="171"/>
      <c r="J227" s="171"/>
      <c r="K227" s="169">
        <f t="shared" si="94"/>
        <v>0</v>
      </c>
      <c r="L227" s="172"/>
      <c r="M227" s="169">
        <f t="shared" si="93"/>
        <v>0</v>
      </c>
      <c r="N227" s="169">
        <f t="shared" si="83"/>
        <v>-0.29166666666666669</v>
      </c>
      <c r="O227" s="169">
        <f>N227</f>
        <v>-0.29166666666666669</v>
      </c>
      <c r="P227" s="213">
        <f t="shared" ref="P227:P258" si="105">N227</f>
        <v>-0.29166666666666669</v>
      </c>
      <c r="Q227" s="71"/>
      <c r="R227" s="71"/>
    </row>
    <row r="228" spans="2:18" ht="15.75" thickBot="1" x14ac:dyDescent="0.3">
      <c r="B228" s="139">
        <v>44046</v>
      </c>
      <c r="C228" s="214" t="s">
        <v>7</v>
      </c>
      <c r="D228" s="137"/>
      <c r="E228" s="137"/>
      <c r="F228" s="137"/>
      <c r="G228" s="169">
        <f t="shared" si="101"/>
        <v>0</v>
      </c>
      <c r="H228" s="169" t="b">
        <f t="shared" si="99"/>
        <v>0</v>
      </c>
      <c r="I228" s="171"/>
      <c r="J228" s="171"/>
      <c r="K228" s="169">
        <f t="shared" si="94"/>
        <v>0</v>
      </c>
      <c r="L228" s="172"/>
      <c r="M228" s="169">
        <f t="shared" si="93"/>
        <v>0</v>
      </c>
      <c r="N228" s="169">
        <f t="shared" si="83"/>
        <v>-0.29166666666666669</v>
      </c>
      <c r="O228" s="169">
        <f>O227+N228</f>
        <v>-0.58333333333333337</v>
      </c>
      <c r="P228" s="215">
        <f t="shared" ref="P228:P259" si="106">P227+N228</f>
        <v>-0.58333333333333337</v>
      </c>
      <c r="Q228" s="71"/>
      <c r="R228" s="71"/>
    </row>
    <row r="229" spans="2:18" ht="15.75" thickBot="1" x14ac:dyDescent="0.3">
      <c r="B229" s="139">
        <v>44047</v>
      </c>
      <c r="C229" s="214" t="s">
        <v>23</v>
      </c>
      <c r="D229" s="137"/>
      <c r="E229" s="137"/>
      <c r="F229" s="137"/>
      <c r="G229" s="169">
        <f t="shared" si="101"/>
        <v>0</v>
      </c>
      <c r="H229" s="169" t="b">
        <f t="shared" ref="H229:H292" si="107">IF(G229&gt;$I$6,G229-$I$6)</f>
        <v>0</v>
      </c>
      <c r="I229" s="171"/>
      <c r="J229" s="171"/>
      <c r="K229" s="169">
        <f t="shared" si="94"/>
        <v>0</v>
      </c>
      <c r="L229" s="172"/>
      <c r="M229" s="169">
        <f t="shared" si="93"/>
        <v>0</v>
      </c>
      <c r="N229" s="169">
        <f t="shared" si="83"/>
        <v>-0.29166666666666669</v>
      </c>
      <c r="O229" s="169">
        <f>O228+N229</f>
        <v>-0.875</v>
      </c>
      <c r="P229" s="213">
        <f>P228+N229</f>
        <v>-0.875</v>
      </c>
      <c r="Q229" s="71"/>
      <c r="R229" s="71"/>
    </row>
    <row r="230" spans="2:18" x14ac:dyDescent="0.25">
      <c r="B230" s="139">
        <v>44048</v>
      </c>
      <c r="C230" s="214" t="s">
        <v>8</v>
      </c>
      <c r="D230" s="137"/>
      <c r="E230" s="137"/>
      <c r="F230" s="137"/>
      <c r="G230" s="169">
        <f t="shared" si="101"/>
        <v>0</v>
      </c>
      <c r="H230" s="169" t="b">
        <f t="shared" si="107"/>
        <v>0</v>
      </c>
      <c r="I230" s="137"/>
      <c r="J230" s="137"/>
      <c r="K230" s="169">
        <f t="shared" si="94"/>
        <v>0</v>
      </c>
      <c r="L230" s="172"/>
      <c r="M230" s="169">
        <f t="shared" si="93"/>
        <v>0</v>
      </c>
      <c r="N230" s="169">
        <f t="shared" si="83"/>
        <v>-0.29166666666666669</v>
      </c>
      <c r="O230" s="169">
        <f>O229+N230</f>
        <v>-1.1666666666666667</v>
      </c>
      <c r="P230" s="213">
        <f>P229+N230</f>
        <v>-1.1666666666666667</v>
      </c>
      <c r="Q230" s="71"/>
      <c r="R230" s="71"/>
    </row>
    <row r="231" spans="2:18" ht="15.75" thickBot="1" x14ac:dyDescent="0.3">
      <c r="B231" s="139">
        <v>44049</v>
      </c>
      <c r="C231" s="214" t="s">
        <v>9</v>
      </c>
      <c r="D231" s="137"/>
      <c r="E231" s="137"/>
      <c r="F231" s="137"/>
      <c r="G231" s="169">
        <f t="shared" si="101"/>
        <v>0</v>
      </c>
      <c r="H231" s="169" t="b">
        <f t="shared" si="107"/>
        <v>0</v>
      </c>
      <c r="I231" s="171"/>
      <c r="J231" s="171"/>
      <c r="K231" s="169">
        <f t="shared" si="94"/>
        <v>0</v>
      </c>
      <c r="L231" s="172"/>
      <c r="M231" s="169">
        <f t="shared" si="93"/>
        <v>0</v>
      </c>
      <c r="N231" s="169">
        <f t="shared" si="83"/>
        <v>-0.29166666666666669</v>
      </c>
      <c r="O231" s="169">
        <f>O230+N231</f>
        <v>-1.4583333333333335</v>
      </c>
      <c r="P231" s="215">
        <f t="shared" si="106"/>
        <v>-1.4583333333333335</v>
      </c>
      <c r="Q231" s="71"/>
      <c r="R231" s="71"/>
    </row>
    <row r="232" spans="2:18" x14ac:dyDescent="0.25">
      <c r="B232" s="139">
        <v>44050</v>
      </c>
      <c r="C232" s="42" t="s">
        <v>21</v>
      </c>
      <c r="D232" s="43"/>
      <c r="E232" s="43"/>
      <c r="F232" s="43"/>
      <c r="G232" s="34"/>
      <c r="H232" s="34"/>
      <c r="I232" s="28"/>
      <c r="J232" s="28"/>
      <c r="K232" s="34"/>
      <c r="L232" s="27"/>
      <c r="M232" s="34">
        <f t="shared" si="93"/>
        <v>0</v>
      </c>
      <c r="N232" s="34"/>
      <c r="O232" s="34"/>
      <c r="P232" s="213"/>
      <c r="Q232" s="72"/>
      <c r="R232" s="72">
        <f t="shared" ref="R232" si="108">Q232/5</f>
        <v>0</v>
      </c>
    </row>
    <row r="233" spans="2:18" ht="15.75" thickBot="1" x14ac:dyDescent="0.3">
      <c r="B233" s="139">
        <v>44051</v>
      </c>
      <c r="C233" s="42" t="s">
        <v>22</v>
      </c>
      <c r="D233" s="43"/>
      <c r="E233" s="43"/>
      <c r="F233" s="43"/>
      <c r="G233" s="34"/>
      <c r="H233" s="34"/>
      <c r="I233" s="28"/>
      <c r="J233" s="28"/>
      <c r="K233" s="34"/>
      <c r="L233" s="27"/>
      <c r="M233" s="34">
        <f t="shared" si="93"/>
        <v>0</v>
      </c>
      <c r="N233" s="34"/>
      <c r="O233" s="34"/>
      <c r="P233" s="215"/>
      <c r="Q233" s="71"/>
      <c r="R233" s="71"/>
    </row>
    <row r="234" spans="2:18" x14ac:dyDescent="0.25">
      <c r="B234" s="139">
        <v>44052</v>
      </c>
      <c r="C234" s="214" t="s">
        <v>6</v>
      </c>
      <c r="D234" s="137"/>
      <c r="E234" s="137"/>
      <c r="F234" s="137"/>
      <c r="G234" s="169"/>
      <c r="H234" s="169" t="b">
        <f t="shared" ref="H234:H235" si="109">IF(G234&gt;$I$6,G234)</f>
        <v>0</v>
      </c>
      <c r="I234" s="171"/>
      <c r="J234" s="171"/>
      <c r="K234" s="169">
        <f t="shared" si="94"/>
        <v>0</v>
      </c>
      <c r="L234" s="172"/>
      <c r="M234" s="169">
        <f t="shared" si="93"/>
        <v>0</v>
      </c>
      <c r="N234" s="169">
        <f t="shared" si="83"/>
        <v>-0.29166666666666669</v>
      </c>
      <c r="O234" s="169">
        <f>N234</f>
        <v>-0.29166666666666669</v>
      </c>
      <c r="P234" s="213">
        <f>P231+N234</f>
        <v>-1.7500000000000002</v>
      </c>
      <c r="Q234" s="71"/>
      <c r="R234" s="71"/>
    </row>
    <row r="235" spans="2:18" ht="15.75" thickBot="1" x14ac:dyDescent="0.3">
      <c r="B235" s="139">
        <v>44053</v>
      </c>
      <c r="C235" s="214" t="s">
        <v>7</v>
      </c>
      <c r="D235" s="137"/>
      <c r="E235" s="137"/>
      <c r="F235" s="137"/>
      <c r="G235" s="169">
        <f t="shared" si="101"/>
        <v>0</v>
      </c>
      <c r="H235" s="169" t="b">
        <f t="shared" si="109"/>
        <v>0</v>
      </c>
      <c r="I235" s="171"/>
      <c r="J235" s="171"/>
      <c r="K235" s="169">
        <f t="shared" si="94"/>
        <v>0</v>
      </c>
      <c r="L235" s="172"/>
      <c r="M235" s="169">
        <f t="shared" si="93"/>
        <v>0</v>
      </c>
      <c r="N235" s="169">
        <f t="shared" si="83"/>
        <v>-0.29166666666666669</v>
      </c>
      <c r="O235" s="169">
        <f>O234+N235</f>
        <v>-0.58333333333333337</v>
      </c>
      <c r="P235" s="215">
        <f t="shared" ref="P235:P294" si="110">P234+N235</f>
        <v>-2.041666666666667</v>
      </c>
      <c r="Q235" s="71"/>
      <c r="R235" s="71"/>
    </row>
    <row r="236" spans="2:18" x14ac:dyDescent="0.25">
      <c r="B236" s="139">
        <v>44054</v>
      </c>
      <c r="C236" s="214" t="s">
        <v>23</v>
      </c>
      <c r="D236" s="137"/>
      <c r="E236" s="137"/>
      <c r="F236" s="137"/>
      <c r="G236" s="169">
        <f t="shared" si="101"/>
        <v>0</v>
      </c>
      <c r="H236" s="169" t="b">
        <f t="shared" si="99"/>
        <v>0</v>
      </c>
      <c r="I236" s="171"/>
      <c r="J236" s="171"/>
      <c r="K236" s="169">
        <f t="shared" si="94"/>
        <v>0</v>
      </c>
      <c r="L236" s="172"/>
      <c r="M236" s="169">
        <f t="shared" si="93"/>
        <v>0</v>
      </c>
      <c r="N236" s="169">
        <f t="shared" si="83"/>
        <v>-0.29166666666666669</v>
      </c>
      <c r="O236" s="169">
        <f>O235+N236</f>
        <v>-0.875</v>
      </c>
      <c r="P236" s="213">
        <f t="shared" si="110"/>
        <v>-2.3333333333333335</v>
      </c>
      <c r="Q236" s="71"/>
      <c r="R236" s="71"/>
    </row>
    <row r="237" spans="2:18" ht="15.75" thickBot="1" x14ac:dyDescent="0.3">
      <c r="B237" s="139">
        <v>44055</v>
      </c>
      <c r="C237" s="214" t="s">
        <v>8</v>
      </c>
      <c r="D237" s="137"/>
      <c r="E237" s="137"/>
      <c r="F237" s="137"/>
      <c r="G237" s="169">
        <f t="shared" si="101"/>
        <v>0</v>
      </c>
      <c r="H237" s="169" t="b">
        <f t="shared" si="99"/>
        <v>0</v>
      </c>
      <c r="I237" s="137"/>
      <c r="J237" s="137"/>
      <c r="K237" s="169">
        <f t="shared" si="94"/>
        <v>0</v>
      </c>
      <c r="L237" s="172"/>
      <c r="M237" s="169">
        <f t="shared" si="93"/>
        <v>0</v>
      </c>
      <c r="N237" s="169">
        <f t="shared" si="83"/>
        <v>-0.29166666666666669</v>
      </c>
      <c r="O237" s="169">
        <f>O236+N237</f>
        <v>-1.1666666666666667</v>
      </c>
      <c r="P237" s="215">
        <f t="shared" si="110"/>
        <v>-2.625</v>
      </c>
      <c r="Q237" s="71"/>
      <c r="R237" s="71"/>
    </row>
    <row r="238" spans="2:18" ht="15.75" thickBot="1" x14ac:dyDescent="0.3">
      <c r="B238" s="139">
        <v>44056</v>
      </c>
      <c r="C238" s="214" t="s">
        <v>9</v>
      </c>
      <c r="D238" s="137"/>
      <c r="E238" s="137"/>
      <c r="F238" s="137"/>
      <c r="G238" s="169">
        <f t="shared" si="101"/>
        <v>0</v>
      </c>
      <c r="H238" s="169" t="b">
        <f t="shared" si="99"/>
        <v>0</v>
      </c>
      <c r="I238" s="171"/>
      <c r="J238" s="171"/>
      <c r="K238" s="169">
        <f t="shared" si="94"/>
        <v>0</v>
      </c>
      <c r="L238" s="172"/>
      <c r="M238" s="169">
        <f t="shared" si="93"/>
        <v>0</v>
      </c>
      <c r="N238" s="169">
        <f t="shared" si="83"/>
        <v>-0.29166666666666669</v>
      </c>
      <c r="O238" s="169">
        <f>O237+N238</f>
        <v>-1.4583333333333335</v>
      </c>
      <c r="P238" s="213">
        <f t="shared" si="110"/>
        <v>-2.9166666666666665</v>
      </c>
      <c r="Q238" s="71"/>
      <c r="R238" s="71"/>
    </row>
    <row r="239" spans="2:18" x14ac:dyDescent="0.25">
      <c r="B239" s="139">
        <v>44057</v>
      </c>
      <c r="C239" s="42" t="s">
        <v>21</v>
      </c>
      <c r="D239" s="43"/>
      <c r="E239" s="43"/>
      <c r="F239" s="43"/>
      <c r="G239" s="34"/>
      <c r="H239" s="34"/>
      <c r="I239" s="28"/>
      <c r="J239" s="28"/>
      <c r="K239" s="34"/>
      <c r="L239" s="27"/>
      <c r="M239" s="34">
        <f t="shared" si="93"/>
        <v>0</v>
      </c>
      <c r="N239" s="34"/>
      <c r="O239" s="34"/>
      <c r="P239" s="213"/>
      <c r="Q239" s="72"/>
      <c r="R239" s="72">
        <f t="shared" ref="R239" si="111">Q239/5</f>
        <v>0</v>
      </c>
    </row>
    <row r="240" spans="2:18" ht="15.75" thickBot="1" x14ac:dyDescent="0.3">
      <c r="B240" s="139">
        <v>44058</v>
      </c>
      <c r="C240" s="42" t="s">
        <v>22</v>
      </c>
      <c r="D240" s="43"/>
      <c r="E240" s="43"/>
      <c r="F240" s="43"/>
      <c r="G240" s="34"/>
      <c r="H240" s="34"/>
      <c r="I240" s="28"/>
      <c r="J240" s="28"/>
      <c r="K240" s="34"/>
      <c r="L240" s="27"/>
      <c r="M240" s="34">
        <f t="shared" si="93"/>
        <v>0</v>
      </c>
      <c r="N240" s="34"/>
      <c r="O240" s="34"/>
      <c r="P240" s="215"/>
      <c r="Q240" s="71"/>
      <c r="R240" s="71"/>
    </row>
    <row r="241" spans="2:18" x14ac:dyDescent="0.25">
      <c r="B241" s="139">
        <v>44059</v>
      </c>
      <c r="C241" s="214" t="s">
        <v>6</v>
      </c>
      <c r="D241" s="137"/>
      <c r="E241" s="137"/>
      <c r="F241" s="137"/>
      <c r="G241" s="169"/>
      <c r="H241" s="169" t="b">
        <f t="shared" si="107"/>
        <v>0</v>
      </c>
      <c r="I241" s="171"/>
      <c r="J241" s="171"/>
      <c r="K241" s="169">
        <f t="shared" si="94"/>
        <v>0</v>
      </c>
      <c r="L241" s="172"/>
      <c r="M241" s="169">
        <f t="shared" si="93"/>
        <v>0</v>
      </c>
      <c r="N241" s="169">
        <f t="shared" si="83"/>
        <v>-0.29166666666666669</v>
      </c>
      <c r="O241" s="169">
        <f>N241</f>
        <v>-0.29166666666666669</v>
      </c>
      <c r="P241" s="213">
        <f>P238+N241</f>
        <v>-3.208333333333333</v>
      </c>
      <c r="Q241" s="71"/>
      <c r="R241" s="71"/>
    </row>
    <row r="242" spans="2:18" ht="15.75" thickBot="1" x14ac:dyDescent="0.3">
      <c r="B242" s="139">
        <v>44060</v>
      </c>
      <c r="C242" s="214" t="s">
        <v>7</v>
      </c>
      <c r="D242" s="137"/>
      <c r="E242" s="137"/>
      <c r="F242" s="137"/>
      <c r="G242" s="169">
        <f t="shared" si="101"/>
        <v>0</v>
      </c>
      <c r="H242" s="169" t="b">
        <f t="shared" si="107"/>
        <v>0</v>
      </c>
      <c r="I242" s="171"/>
      <c r="J242" s="171"/>
      <c r="K242" s="169">
        <f t="shared" si="94"/>
        <v>0</v>
      </c>
      <c r="L242" s="172"/>
      <c r="M242" s="169">
        <f t="shared" si="93"/>
        <v>0</v>
      </c>
      <c r="N242" s="169">
        <f t="shared" si="83"/>
        <v>-0.29166666666666669</v>
      </c>
      <c r="O242" s="169">
        <f>O241+N242</f>
        <v>-0.58333333333333337</v>
      </c>
      <c r="P242" s="215">
        <f t="shared" ref="P242:P273" si="112">P241+N242</f>
        <v>-3.4999999999999996</v>
      </c>
      <c r="Q242" s="71"/>
      <c r="R242" s="71"/>
    </row>
    <row r="243" spans="2:18" x14ac:dyDescent="0.25">
      <c r="B243" s="139">
        <v>44061</v>
      </c>
      <c r="C243" s="214" t="s">
        <v>23</v>
      </c>
      <c r="D243" s="137"/>
      <c r="E243" s="137"/>
      <c r="F243" s="137"/>
      <c r="G243" s="169">
        <f t="shared" si="101"/>
        <v>0</v>
      </c>
      <c r="H243" s="169" t="b">
        <f t="shared" ref="H243:H245" si="113">IF(G243&gt;$I$6,G243)</f>
        <v>0</v>
      </c>
      <c r="I243" s="171"/>
      <c r="J243" s="171"/>
      <c r="K243" s="169">
        <f t="shared" si="94"/>
        <v>0</v>
      </c>
      <c r="L243" s="172"/>
      <c r="M243" s="169">
        <f t="shared" si="93"/>
        <v>0</v>
      </c>
      <c r="N243" s="169">
        <f t="shared" si="83"/>
        <v>-0.29166666666666669</v>
      </c>
      <c r="O243" s="169">
        <f>O242+N243</f>
        <v>-0.875</v>
      </c>
      <c r="P243" s="213">
        <f t="shared" si="112"/>
        <v>-3.7916666666666661</v>
      </c>
      <c r="Q243" s="71"/>
      <c r="R243" s="71"/>
    </row>
    <row r="244" spans="2:18" ht="15.75" thickBot="1" x14ac:dyDescent="0.3">
      <c r="B244" s="139">
        <v>44062</v>
      </c>
      <c r="C244" s="214" t="s">
        <v>8</v>
      </c>
      <c r="D244" s="137"/>
      <c r="E244" s="137"/>
      <c r="F244" s="137"/>
      <c r="G244" s="169">
        <f t="shared" si="101"/>
        <v>0</v>
      </c>
      <c r="H244" s="169" t="b">
        <f t="shared" si="113"/>
        <v>0</v>
      </c>
      <c r="I244" s="137"/>
      <c r="J244" s="137"/>
      <c r="K244" s="169">
        <f t="shared" si="94"/>
        <v>0</v>
      </c>
      <c r="L244" s="172"/>
      <c r="M244" s="169">
        <f t="shared" si="93"/>
        <v>0</v>
      </c>
      <c r="N244" s="169">
        <f t="shared" si="83"/>
        <v>-0.29166666666666669</v>
      </c>
      <c r="O244" s="169">
        <f>O243+N244</f>
        <v>-1.1666666666666667</v>
      </c>
      <c r="P244" s="215">
        <f t="shared" si="110"/>
        <v>-4.083333333333333</v>
      </c>
      <c r="Q244" s="71"/>
      <c r="R244" s="71"/>
    </row>
    <row r="245" spans="2:18" ht="15.75" thickBot="1" x14ac:dyDescent="0.3">
      <c r="B245" s="139">
        <v>44063</v>
      </c>
      <c r="C245" s="214" t="s">
        <v>9</v>
      </c>
      <c r="D245" s="137"/>
      <c r="E245" s="137"/>
      <c r="F245" s="137"/>
      <c r="G245" s="169">
        <f t="shared" si="101"/>
        <v>0</v>
      </c>
      <c r="H245" s="169" t="b">
        <f t="shared" si="113"/>
        <v>0</v>
      </c>
      <c r="I245" s="171"/>
      <c r="J245" s="171"/>
      <c r="K245" s="169">
        <f t="shared" si="94"/>
        <v>0</v>
      </c>
      <c r="L245" s="172"/>
      <c r="M245" s="169">
        <f t="shared" si="93"/>
        <v>0</v>
      </c>
      <c r="N245" s="169">
        <f t="shared" si="83"/>
        <v>-0.29166666666666669</v>
      </c>
      <c r="O245" s="169">
        <f>O244+N245</f>
        <v>-1.4583333333333335</v>
      </c>
      <c r="P245" s="213">
        <f t="shared" si="110"/>
        <v>-4.375</v>
      </c>
      <c r="Q245" s="71"/>
      <c r="R245" s="71"/>
    </row>
    <row r="246" spans="2:18" x14ac:dyDescent="0.25">
      <c r="B246" s="139">
        <v>44064</v>
      </c>
      <c r="C246" s="42" t="s">
        <v>21</v>
      </c>
      <c r="D246" s="43"/>
      <c r="E246" s="43"/>
      <c r="F246" s="43"/>
      <c r="G246" s="34"/>
      <c r="H246" s="34"/>
      <c r="I246" s="28"/>
      <c r="J246" s="28"/>
      <c r="K246" s="34"/>
      <c r="L246" s="27"/>
      <c r="M246" s="34">
        <f t="shared" si="93"/>
        <v>0</v>
      </c>
      <c r="N246" s="34"/>
      <c r="O246" s="34"/>
      <c r="P246" s="213"/>
      <c r="Q246" s="72"/>
      <c r="R246" s="72">
        <f t="shared" ref="R246" si="114">Q246/5</f>
        <v>0</v>
      </c>
    </row>
    <row r="247" spans="2:18" ht="15.75" thickBot="1" x14ac:dyDescent="0.3">
      <c r="B247" s="139">
        <v>44065</v>
      </c>
      <c r="C247" s="42" t="s">
        <v>22</v>
      </c>
      <c r="D247" s="43"/>
      <c r="E247" s="43"/>
      <c r="F247" s="43"/>
      <c r="G247" s="34"/>
      <c r="H247" s="34"/>
      <c r="I247" s="28"/>
      <c r="J247" s="28"/>
      <c r="K247" s="34"/>
      <c r="L247" s="27"/>
      <c r="M247" s="34">
        <f t="shared" si="93"/>
        <v>0</v>
      </c>
      <c r="N247" s="34"/>
      <c r="O247" s="34"/>
      <c r="P247" s="215"/>
      <c r="Q247" s="71"/>
      <c r="R247" s="71"/>
    </row>
    <row r="248" spans="2:18" x14ac:dyDescent="0.25">
      <c r="B248" s="139">
        <v>44066</v>
      </c>
      <c r="C248" s="214" t="s">
        <v>6</v>
      </c>
      <c r="D248" s="137"/>
      <c r="E248" s="137"/>
      <c r="F248" s="137"/>
      <c r="G248" s="169"/>
      <c r="H248" s="169" t="b">
        <f t="shared" si="99"/>
        <v>0</v>
      </c>
      <c r="I248" s="171"/>
      <c r="J248" s="171"/>
      <c r="K248" s="169">
        <f t="shared" si="94"/>
        <v>0</v>
      </c>
      <c r="L248" s="172"/>
      <c r="M248" s="169">
        <f t="shared" si="93"/>
        <v>0</v>
      </c>
      <c r="N248" s="169">
        <f t="shared" ref="N248:N255" si="115">M248-$E$6</f>
        <v>-0.29166666666666669</v>
      </c>
      <c r="O248" s="169">
        <f>N248</f>
        <v>-0.29166666666666669</v>
      </c>
      <c r="P248" s="213">
        <f>P245+N248</f>
        <v>-4.666666666666667</v>
      </c>
      <c r="Q248" s="71"/>
      <c r="R248" s="71"/>
    </row>
    <row r="249" spans="2:18" ht="15.75" thickBot="1" x14ac:dyDescent="0.3">
      <c r="B249" s="139">
        <v>44067</v>
      </c>
      <c r="C249" s="214" t="s">
        <v>7</v>
      </c>
      <c r="D249" s="137"/>
      <c r="E249" s="137"/>
      <c r="F249" s="137"/>
      <c r="G249" s="169">
        <f t="shared" si="101"/>
        <v>0</v>
      </c>
      <c r="H249" s="169" t="b">
        <f t="shared" si="107"/>
        <v>0</v>
      </c>
      <c r="I249" s="171"/>
      <c r="J249" s="171"/>
      <c r="K249" s="169">
        <f t="shared" si="94"/>
        <v>0</v>
      </c>
      <c r="L249" s="172"/>
      <c r="M249" s="169">
        <f t="shared" si="93"/>
        <v>0</v>
      </c>
      <c r="N249" s="169">
        <f t="shared" si="115"/>
        <v>-0.29166666666666669</v>
      </c>
      <c r="O249" s="169">
        <f>O248+N249</f>
        <v>-0.58333333333333337</v>
      </c>
      <c r="P249" s="215">
        <f t="shared" ref="P249:P280" si="116">P248+N249</f>
        <v>-4.9583333333333339</v>
      </c>
      <c r="Q249" s="71"/>
      <c r="R249" s="71"/>
    </row>
    <row r="250" spans="2:18" x14ac:dyDescent="0.25">
      <c r="B250" s="139">
        <v>44068</v>
      </c>
      <c r="C250" s="214" t="s">
        <v>23</v>
      </c>
      <c r="D250" s="137"/>
      <c r="E250" s="137"/>
      <c r="F250" s="137"/>
      <c r="G250" s="169">
        <f t="shared" si="101"/>
        <v>0</v>
      </c>
      <c r="H250" s="169" t="b">
        <f t="shared" si="107"/>
        <v>0</v>
      </c>
      <c r="I250" s="171"/>
      <c r="J250" s="171"/>
      <c r="K250" s="169">
        <f t="shared" si="94"/>
        <v>0</v>
      </c>
      <c r="L250" s="172"/>
      <c r="M250" s="169">
        <f t="shared" si="93"/>
        <v>0</v>
      </c>
      <c r="N250" s="169">
        <f t="shared" si="115"/>
        <v>-0.29166666666666669</v>
      </c>
      <c r="O250" s="169">
        <f>O249+N250</f>
        <v>-0.875</v>
      </c>
      <c r="P250" s="213">
        <f t="shared" si="116"/>
        <v>-5.2500000000000009</v>
      </c>
      <c r="Q250" s="71"/>
      <c r="R250" s="71"/>
    </row>
    <row r="251" spans="2:18" ht="15.75" thickBot="1" x14ac:dyDescent="0.3">
      <c r="B251" s="139">
        <v>44069</v>
      </c>
      <c r="C251" s="214" t="s">
        <v>8</v>
      </c>
      <c r="D251" s="137"/>
      <c r="E251" s="137"/>
      <c r="F251" s="137"/>
      <c r="G251" s="169">
        <f t="shared" si="101"/>
        <v>0</v>
      </c>
      <c r="H251" s="169" t="b">
        <f t="shared" si="107"/>
        <v>0</v>
      </c>
      <c r="I251" s="137"/>
      <c r="J251" s="137"/>
      <c r="K251" s="169">
        <f t="shared" si="94"/>
        <v>0</v>
      </c>
      <c r="L251" s="172"/>
      <c r="M251" s="169">
        <f t="shared" si="93"/>
        <v>0</v>
      </c>
      <c r="N251" s="169">
        <f t="shared" si="115"/>
        <v>-0.29166666666666669</v>
      </c>
      <c r="O251" s="169">
        <f>O250+N251</f>
        <v>-1.1666666666666667</v>
      </c>
      <c r="P251" s="215">
        <f t="shared" si="110"/>
        <v>-5.5416666666666679</v>
      </c>
      <c r="Q251" s="71"/>
      <c r="R251" s="71"/>
    </row>
    <row r="252" spans="2:18" ht="15.75" thickBot="1" x14ac:dyDescent="0.3">
      <c r="B252" s="139">
        <v>44070</v>
      </c>
      <c r="C252" s="214" t="s">
        <v>9</v>
      </c>
      <c r="D252" s="137"/>
      <c r="E252" s="137"/>
      <c r="F252" s="137"/>
      <c r="G252" s="169">
        <f t="shared" si="101"/>
        <v>0</v>
      </c>
      <c r="H252" s="169" t="b">
        <f t="shared" si="107"/>
        <v>0</v>
      </c>
      <c r="I252" s="171"/>
      <c r="J252" s="171"/>
      <c r="K252" s="169">
        <f t="shared" si="94"/>
        <v>0</v>
      </c>
      <c r="L252" s="172"/>
      <c r="M252" s="169">
        <f t="shared" si="93"/>
        <v>0</v>
      </c>
      <c r="N252" s="169">
        <f t="shared" si="115"/>
        <v>-0.29166666666666669</v>
      </c>
      <c r="O252" s="169">
        <f>O251+N252</f>
        <v>-1.4583333333333335</v>
      </c>
      <c r="P252" s="213">
        <f t="shared" si="110"/>
        <v>-5.8333333333333348</v>
      </c>
      <c r="Q252" s="71"/>
      <c r="R252" s="71"/>
    </row>
    <row r="253" spans="2:18" x14ac:dyDescent="0.25">
      <c r="B253" s="139">
        <v>44071</v>
      </c>
      <c r="C253" s="42" t="s">
        <v>21</v>
      </c>
      <c r="D253" s="43"/>
      <c r="E253" s="43"/>
      <c r="F253" s="43"/>
      <c r="G253" s="34"/>
      <c r="H253" s="34"/>
      <c r="I253" s="28"/>
      <c r="J253" s="28"/>
      <c r="K253" s="34"/>
      <c r="L253" s="27"/>
      <c r="M253" s="34">
        <f t="shared" si="93"/>
        <v>0</v>
      </c>
      <c r="N253" s="34"/>
      <c r="O253" s="34"/>
      <c r="P253" s="213"/>
      <c r="Q253" s="72"/>
      <c r="R253" s="72">
        <f t="shared" ref="R253" si="117">Q253/5</f>
        <v>0</v>
      </c>
    </row>
    <row r="254" spans="2:18" ht="15.75" thickBot="1" x14ac:dyDescent="0.3">
      <c r="B254" s="139">
        <v>44072</v>
      </c>
      <c r="C254" s="42" t="s">
        <v>22</v>
      </c>
      <c r="D254" s="43"/>
      <c r="E254" s="43"/>
      <c r="F254" s="43"/>
      <c r="G254" s="34"/>
      <c r="H254" s="34"/>
      <c r="I254" s="28"/>
      <c r="J254" s="28"/>
      <c r="K254" s="34"/>
      <c r="L254" s="27"/>
      <c r="M254" s="34">
        <f t="shared" si="93"/>
        <v>0</v>
      </c>
      <c r="N254" s="34"/>
      <c r="O254" s="34"/>
      <c r="P254" s="215"/>
      <c r="Q254" s="71"/>
      <c r="R254" s="71"/>
    </row>
    <row r="255" spans="2:18" x14ac:dyDescent="0.25">
      <c r="B255" s="139">
        <v>44073</v>
      </c>
      <c r="C255" s="214" t="s">
        <v>6</v>
      </c>
      <c r="D255" s="137"/>
      <c r="E255" s="137"/>
      <c r="F255" s="137"/>
      <c r="G255" s="169"/>
      <c r="H255" s="169" t="b">
        <f t="shared" ref="H255" si="118">IF(G255&gt;$I$6,G255)</f>
        <v>0</v>
      </c>
      <c r="I255" s="171"/>
      <c r="J255" s="171"/>
      <c r="K255" s="169">
        <f t="shared" si="94"/>
        <v>0</v>
      </c>
      <c r="L255" s="172"/>
      <c r="M255" s="169">
        <f t="shared" si="93"/>
        <v>0</v>
      </c>
      <c r="N255" s="169">
        <f t="shared" si="115"/>
        <v>-0.29166666666666669</v>
      </c>
      <c r="O255" s="169">
        <f>N255</f>
        <v>-0.29166666666666669</v>
      </c>
      <c r="P255" s="213">
        <f>P252+N255</f>
        <v>-6.1250000000000018</v>
      </c>
      <c r="Q255" s="71"/>
      <c r="R255" s="71"/>
    </row>
    <row r="256" spans="2:18" ht="15.75" thickBot="1" x14ac:dyDescent="0.3">
      <c r="B256" s="139">
        <v>44074</v>
      </c>
      <c r="C256" s="214" t="s">
        <v>7</v>
      </c>
      <c r="D256" s="137"/>
      <c r="E256" s="137"/>
      <c r="F256" s="137"/>
      <c r="G256" s="169">
        <f t="shared" ref="G256:G315" si="119">F256-E256</f>
        <v>0</v>
      </c>
      <c r="H256" s="169" t="b">
        <f t="shared" si="99"/>
        <v>0</v>
      </c>
      <c r="I256" s="171"/>
      <c r="J256" s="171"/>
      <c r="K256" s="169">
        <f t="shared" si="94"/>
        <v>0</v>
      </c>
      <c r="L256" s="172"/>
      <c r="M256" s="169">
        <f t="shared" si="93"/>
        <v>0</v>
      </c>
      <c r="N256" s="169">
        <f>M256-$E$6</f>
        <v>-0.29166666666666669</v>
      </c>
      <c r="O256" s="169">
        <f>O255+N256</f>
        <v>-0.58333333333333337</v>
      </c>
      <c r="P256" s="215">
        <f>N256</f>
        <v>-0.29166666666666669</v>
      </c>
      <c r="Q256" s="71"/>
      <c r="R256" s="71"/>
    </row>
    <row r="257" spans="2:18" x14ac:dyDescent="0.25">
      <c r="B257" s="139">
        <v>44075</v>
      </c>
      <c r="C257" s="214" t="s">
        <v>23</v>
      </c>
      <c r="D257" s="137"/>
      <c r="E257" s="137"/>
      <c r="F257" s="137"/>
      <c r="G257" s="169">
        <f t="shared" si="119"/>
        <v>0</v>
      </c>
      <c r="H257" s="169" t="b">
        <f t="shared" si="99"/>
        <v>0</v>
      </c>
      <c r="I257" s="171"/>
      <c r="J257" s="171"/>
      <c r="K257" s="169">
        <f t="shared" si="94"/>
        <v>0</v>
      </c>
      <c r="L257" s="172"/>
      <c r="M257" s="169">
        <f t="shared" si="93"/>
        <v>0</v>
      </c>
      <c r="N257" s="169">
        <f>M257-$E$6</f>
        <v>-0.29166666666666669</v>
      </c>
      <c r="O257" s="169">
        <f>O256+N257</f>
        <v>-0.875</v>
      </c>
      <c r="P257" s="213">
        <f t="shared" ref="P256:P287" si="120">P256+N257</f>
        <v>-0.58333333333333337</v>
      </c>
      <c r="Q257" s="71"/>
      <c r="R257" s="71"/>
    </row>
    <row r="258" spans="2:18" ht="15.75" thickBot="1" x14ac:dyDescent="0.3">
      <c r="B258" s="139">
        <v>44076</v>
      </c>
      <c r="C258" s="214" t="s">
        <v>8</v>
      </c>
      <c r="D258" s="137"/>
      <c r="E258" s="137"/>
      <c r="F258" s="137"/>
      <c r="G258" s="169">
        <f t="shared" si="119"/>
        <v>0</v>
      </c>
      <c r="H258" s="169" t="b">
        <f t="shared" si="99"/>
        <v>0</v>
      </c>
      <c r="I258" s="137"/>
      <c r="J258" s="137"/>
      <c r="K258" s="169">
        <f t="shared" si="94"/>
        <v>0</v>
      </c>
      <c r="L258" s="172"/>
      <c r="M258" s="169">
        <f t="shared" si="93"/>
        <v>0</v>
      </c>
      <c r="N258" s="169">
        <f>M258-$E$6</f>
        <v>-0.29166666666666669</v>
      </c>
      <c r="O258" s="169">
        <f>O257+N258</f>
        <v>-1.1666666666666667</v>
      </c>
      <c r="P258" s="215">
        <f t="shared" si="110"/>
        <v>-0.875</v>
      </c>
      <c r="Q258" s="71"/>
      <c r="R258" s="71"/>
    </row>
    <row r="259" spans="2:18" ht="15.75" thickBot="1" x14ac:dyDescent="0.3">
      <c r="B259" s="139">
        <v>44077</v>
      </c>
      <c r="C259" s="214" t="s">
        <v>9</v>
      </c>
      <c r="D259" s="137"/>
      <c r="E259" s="137"/>
      <c r="F259" s="137"/>
      <c r="G259" s="169">
        <f t="shared" si="119"/>
        <v>0</v>
      </c>
      <c r="H259" s="169" t="b">
        <f t="shared" si="107"/>
        <v>0</v>
      </c>
      <c r="I259" s="171"/>
      <c r="J259" s="171"/>
      <c r="K259" s="169">
        <f t="shared" si="94"/>
        <v>0</v>
      </c>
      <c r="L259" s="172"/>
      <c r="M259" s="169">
        <f t="shared" si="93"/>
        <v>0</v>
      </c>
      <c r="N259" s="169">
        <f>M259-$E$6</f>
        <v>-0.29166666666666669</v>
      </c>
      <c r="O259" s="169">
        <f>O258+N259</f>
        <v>-1.4583333333333335</v>
      </c>
      <c r="P259" s="213">
        <f t="shared" si="110"/>
        <v>-1.1666666666666667</v>
      </c>
      <c r="Q259" s="71"/>
      <c r="R259" s="71"/>
    </row>
    <row r="260" spans="2:18" x14ac:dyDescent="0.25">
      <c r="B260" s="139">
        <v>44078</v>
      </c>
      <c r="C260" s="42" t="s">
        <v>21</v>
      </c>
      <c r="D260" s="43"/>
      <c r="E260" s="43"/>
      <c r="F260" s="43"/>
      <c r="G260" s="34"/>
      <c r="H260" s="34"/>
      <c r="I260" s="28"/>
      <c r="J260" s="28"/>
      <c r="K260" s="34"/>
      <c r="L260" s="27"/>
      <c r="M260" s="34">
        <f t="shared" si="93"/>
        <v>0</v>
      </c>
      <c r="N260" s="34"/>
      <c r="O260" s="34"/>
      <c r="P260" s="213"/>
      <c r="Q260" s="72"/>
      <c r="R260" s="72">
        <f t="shared" ref="R260" si="121">Q260/5</f>
        <v>0</v>
      </c>
    </row>
    <row r="261" spans="2:18" ht="15.75" thickBot="1" x14ac:dyDescent="0.3">
      <c r="B261" s="139">
        <v>44079</v>
      </c>
      <c r="C261" s="42" t="s">
        <v>22</v>
      </c>
      <c r="D261" s="43"/>
      <c r="E261" s="43"/>
      <c r="F261" s="43"/>
      <c r="G261" s="34"/>
      <c r="H261" s="34"/>
      <c r="I261" s="28"/>
      <c r="J261" s="28"/>
      <c r="K261" s="34"/>
      <c r="L261" s="27"/>
      <c r="M261" s="34">
        <f t="shared" si="93"/>
        <v>0</v>
      </c>
      <c r="N261" s="34"/>
      <c r="O261" s="34"/>
      <c r="P261" s="215"/>
      <c r="Q261" s="71"/>
      <c r="R261" s="71"/>
    </row>
    <row r="262" spans="2:18" x14ac:dyDescent="0.25">
      <c r="B262" s="139">
        <v>44080</v>
      </c>
      <c r="C262" s="214" t="s">
        <v>6</v>
      </c>
      <c r="D262" s="137"/>
      <c r="E262" s="137"/>
      <c r="F262" s="137"/>
      <c r="G262" s="169"/>
      <c r="H262" s="169" t="b">
        <f t="shared" si="107"/>
        <v>0</v>
      </c>
      <c r="I262" s="171"/>
      <c r="J262" s="171"/>
      <c r="K262" s="169">
        <f t="shared" si="94"/>
        <v>0</v>
      </c>
      <c r="L262" s="172"/>
      <c r="M262" s="169">
        <f t="shared" si="93"/>
        <v>0</v>
      </c>
      <c r="N262" s="169">
        <f t="shared" ref="N262:N285" si="122">M262-$E$6</f>
        <v>-0.29166666666666669</v>
      </c>
      <c r="O262" s="169">
        <f>N262</f>
        <v>-0.29166666666666669</v>
      </c>
      <c r="P262" s="213">
        <f>P259+N262</f>
        <v>-1.4583333333333335</v>
      </c>
      <c r="Q262" s="71"/>
      <c r="R262" s="71"/>
    </row>
    <row r="263" spans="2:18" ht="15.75" thickBot="1" x14ac:dyDescent="0.3">
      <c r="B263" s="139">
        <v>44081</v>
      </c>
      <c r="C263" s="214" t="s">
        <v>7</v>
      </c>
      <c r="D263" s="137"/>
      <c r="E263" s="137"/>
      <c r="F263" s="137"/>
      <c r="G263" s="169">
        <f t="shared" si="119"/>
        <v>0</v>
      </c>
      <c r="H263" s="169" t="b">
        <f t="shared" ref="H263:H265" si="123">IF(G263&gt;$I$6,G263)</f>
        <v>0</v>
      </c>
      <c r="I263" s="171"/>
      <c r="J263" s="171"/>
      <c r="K263" s="169">
        <f t="shared" si="94"/>
        <v>0</v>
      </c>
      <c r="L263" s="172"/>
      <c r="M263" s="169">
        <f t="shared" si="93"/>
        <v>0</v>
      </c>
      <c r="N263" s="169">
        <f t="shared" si="122"/>
        <v>-0.29166666666666669</v>
      </c>
      <c r="O263" s="169">
        <f>O262+N263</f>
        <v>-0.58333333333333337</v>
      </c>
      <c r="P263" s="215">
        <f t="shared" ref="P263:P294" si="124">P262+N263</f>
        <v>-1.7500000000000002</v>
      </c>
      <c r="Q263" s="71"/>
      <c r="R263" s="71"/>
    </row>
    <row r="264" spans="2:18" x14ac:dyDescent="0.25">
      <c r="B264" s="139">
        <v>44082</v>
      </c>
      <c r="C264" s="214" t="s">
        <v>23</v>
      </c>
      <c r="D264" s="137"/>
      <c r="E264" s="137"/>
      <c r="F264" s="137"/>
      <c r="G264" s="169">
        <f t="shared" si="119"/>
        <v>0</v>
      </c>
      <c r="H264" s="169" t="b">
        <f t="shared" si="123"/>
        <v>0</v>
      </c>
      <c r="I264" s="171"/>
      <c r="J264" s="171"/>
      <c r="K264" s="169">
        <f t="shared" si="94"/>
        <v>0</v>
      </c>
      <c r="L264" s="172"/>
      <c r="M264" s="169">
        <f t="shared" si="93"/>
        <v>0</v>
      </c>
      <c r="N264" s="169">
        <f t="shared" si="122"/>
        <v>-0.29166666666666669</v>
      </c>
      <c r="O264" s="169">
        <f>O263+N264</f>
        <v>-0.875</v>
      </c>
      <c r="P264" s="213">
        <f t="shared" si="124"/>
        <v>-2.041666666666667</v>
      </c>
      <c r="Q264" s="71"/>
      <c r="R264" s="71"/>
    </row>
    <row r="265" spans="2:18" ht="15.75" thickBot="1" x14ac:dyDescent="0.3">
      <c r="B265" s="139">
        <v>44083</v>
      </c>
      <c r="C265" s="214" t="s">
        <v>8</v>
      </c>
      <c r="D265" s="137"/>
      <c r="E265" s="137"/>
      <c r="F265" s="137"/>
      <c r="G265" s="169">
        <f t="shared" si="119"/>
        <v>0</v>
      </c>
      <c r="H265" s="169" t="b">
        <f t="shared" si="123"/>
        <v>0</v>
      </c>
      <c r="I265" s="137"/>
      <c r="J265" s="137"/>
      <c r="K265" s="169">
        <f t="shared" si="94"/>
        <v>0</v>
      </c>
      <c r="L265" s="172"/>
      <c r="M265" s="169">
        <f t="shared" si="93"/>
        <v>0</v>
      </c>
      <c r="N265" s="169">
        <f t="shared" si="122"/>
        <v>-0.29166666666666669</v>
      </c>
      <c r="O265" s="169">
        <f>O264+N265</f>
        <v>-1.1666666666666667</v>
      </c>
      <c r="P265" s="215">
        <f t="shared" si="110"/>
        <v>-2.3333333333333335</v>
      </c>
      <c r="Q265" s="71"/>
      <c r="R265" s="71"/>
    </row>
    <row r="266" spans="2:18" ht="15.75" thickBot="1" x14ac:dyDescent="0.3">
      <c r="B266" s="139">
        <v>44084</v>
      </c>
      <c r="C266" s="214" t="s">
        <v>9</v>
      </c>
      <c r="D266" s="137"/>
      <c r="E266" s="137"/>
      <c r="F266" s="137"/>
      <c r="G266" s="169">
        <f t="shared" si="119"/>
        <v>0</v>
      </c>
      <c r="H266" s="169" t="b">
        <f t="shared" si="99"/>
        <v>0</v>
      </c>
      <c r="I266" s="171"/>
      <c r="J266" s="171"/>
      <c r="K266" s="169">
        <f t="shared" si="94"/>
        <v>0</v>
      </c>
      <c r="L266" s="172"/>
      <c r="M266" s="169">
        <f t="shared" si="93"/>
        <v>0</v>
      </c>
      <c r="N266" s="169">
        <f t="shared" si="122"/>
        <v>-0.29166666666666669</v>
      </c>
      <c r="O266" s="169">
        <f>O265+N266</f>
        <v>-1.4583333333333335</v>
      </c>
      <c r="P266" s="213">
        <f t="shared" si="110"/>
        <v>-2.625</v>
      </c>
      <c r="Q266" s="71"/>
      <c r="R266" s="71"/>
    </row>
    <row r="267" spans="2:18" x14ac:dyDescent="0.25">
      <c r="B267" s="139">
        <v>44085</v>
      </c>
      <c r="C267" s="42" t="s">
        <v>21</v>
      </c>
      <c r="D267" s="43"/>
      <c r="E267" s="43"/>
      <c r="F267" s="43"/>
      <c r="G267" s="34"/>
      <c r="H267" s="34"/>
      <c r="I267" s="28"/>
      <c r="J267" s="28"/>
      <c r="K267" s="34"/>
      <c r="L267" s="27"/>
      <c r="M267" s="34">
        <f t="shared" si="93"/>
        <v>0</v>
      </c>
      <c r="N267" s="34"/>
      <c r="O267" s="34"/>
      <c r="P267" s="213"/>
      <c r="Q267" s="72"/>
      <c r="R267" s="72">
        <f t="shared" ref="R267" si="125">Q267/5</f>
        <v>0</v>
      </c>
    </row>
    <row r="268" spans="2:18" ht="15.75" thickBot="1" x14ac:dyDescent="0.3">
      <c r="B268" s="139">
        <v>44086</v>
      </c>
      <c r="C268" s="42" t="s">
        <v>22</v>
      </c>
      <c r="D268" s="43"/>
      <c r="E268" s="43"/>
      <c r="F268" s="43"/>
      <c r="G268" s="34"/>
      <c r="H268" s="34"/>
      <c r="I268" s="28"/>
      <c r="J268" s="28"/>
      <c r="K268" s="34"/>
      <c r="L268" s="27"/>
      <c r="M268" s="34">
        <f t="shared" si="93"/>
        <v>0</v>
      </c>
      <c r="N268" s="34"/>
      <c r="O268" s="34"/>
      <c r="P268" s="215"/>
      <c r="Q268" s="71"/>
      <c r="R268" s="71"/>
    </row>
    <row r="269" spans="2:18" x14ac:dyDescent="0.25">
      <c r="B269" s="139">
        <v>44087</v>
      </c>
      <c r="C269" s="214" t="s">
        <v>6</v>
      </c>
      <c r="D269" s="137"/>
      <c r="E269" s="137"/>
      <c r="F269" s="137"/>
      <c r="G269" s="169"/>
      <c r="H269" s="169" t="b">
        <f t="shared" si="107"/>
        <v>0</v>
      </c>
      <c r="I269" s="171"/>
      <c r="J269" s="171"/>
      <c r="K269" s="169">
        <f t="shared" ref="K269:K332" si="126">J269-I269</f>
        <v>0</v>
      </c>
      <c r="L269" s="172"/>
      <c r="M269" s="169">
        <f t="shared" ref="M269:M332" si="127">(L269-D269)-H269-K269</f>
        <v>0</v>
      </c>
      <c r="N269" s="169">
        <f t="shared" si="122"/>
        <v>-0.29166666666666669</v>
      </c>
      <c r="O269" s="169">
        <f>N269</f>
        <v>-0.29166666666666669</v>
      </c>
      <c r="P269" s="213">
        <f>P266+N269</f>
        <v>-2.9166666666666665</v>
      </c>
      <c r="Q269" s="71"/>
      <c r="R269" s="71"/>
    </row>
    <row r="270" spans="2:18" ht="15.75" thickBot="1" x14ac:dyDescent="0.3">
      <c r="B270" s="139">
        <v>44088</v>
      </c>
      <c r="C270" s="214" t="s">
        <v>7</v>
      </c>
      <c r="D270" s="137"/>
      <c r="E270" s="137"/>
      <c r="F270" s="137"/>
      <c r="G270" s="169">
        <f t="shared" si="119"/>
        <v>0</v>
      </c>
      <c r="H270" s="169" t="b">
        <f t="shared" si="107"/>
        <v>0</v>
      </c>
      <c r="I270" s="171"/>
      <c r="J270" s="171"/>
      <c r="K270" s="169">
        <f t="shared" si="126"/>
        <v>0</v>
      </c>
      <c r="L270" s="172"/>
      <c r="M270" s="169">
        <f t="shared" si="127"/>
        <v>0</v>
      </c>
      <c r="N270" s="169">
        <f t="shared" si="122"/>
        <v>-0.29166666666666669</v>
      </c>
      <c r="O270" s="169">
        <f>O269+N270</f>
        <v>-0.58333333333333337</v>
      </c>
      <c r="P270" s="215">
        <f t="shared" ref="P270:P301" si="128">P269+N270</f>
        <v>-3.208333333333333</v>
      </c>
      <c r="Q270" s="71"/>
      <c r="R270" s="71"/>
    </row>
    <row r="271" spans="2:18" x14ac:dyDescent="0.25">
      <c r="B271" s="139">
        <v>44089</v>
      </c>
      <c r="C271" s="214" t="s">
        <v>23</v>
      </c>
      <c r="D271" s="137"/>
      <c r="E271" s="137"/>
      <c r="F271" s="137"/>
      <c r="G271" s="169">
        <f t="shared" si="119"/>
        <v>0</v>
      </c>
      <c r="H271" s="169" t="b">
        <f t="shared" si="107"/>
        <v>0</v>
      </c>
      <c r="I271" s="171"/>
      <c r="J271" s="171"/>
      <c r="K271" s="169">
        <f t="shared" si="126"/>
        <v>0</v>
      </c>
      <c r="L271" s="172"/>
      <c r="M271" s="169">
        <f t="shared" si="127"/>
        <v>0</v>
      </c>
      <c r="N271" s="169">
        <f t="shared" si="122"/>
        <v>-0.29166666666666669</v>
      </c>
      <c r="O271" s="169">
        <f>O270+N271</f>
        <v>-0.875</v>
      </c>
      <c r="P271" s="213">
        <f t="shared" si="128"/>
        <v>-3.4999999999999996</v>
      </c>
      <c r="Q271" s="71"/>
      <c r="R271" s="71"/>
    </row>
    <row r="272" spans="2:18" ht="15.75" thickBot="1" x14ac:dyDescent="0.3">
      <c r="B272" s="139">
        <v>44090</v>
      </c>
      <c r="C272" s="214" t="s">
        <v>8</v>
      </c>
      <c r="D272" s="137"/>
      <c r="E272" s="137"/>
      <c r="F272" s="137"/>
      <c r="G272" s="169">
        <f t="shared" si="119"/>
        <v>0</v>
      </c>
      <c r="H272" s="169" t="b">
        <f t="shared" si="107"/>
        <v>0</v>
      </c>
      <c r="I272" s="137"/>
      <c r="J272" s="137"/>
      <c r="K272" s="169">
        <f t="shared" si="126"/>
        <v>0</v>
      </c>
      <c r="L272" s="172"/>
      <c r="M272" s="169">
        <f t="shared" si="127"/>
        <v>0</v>
      </c>
      <c r="N272" s="169">
        <f t="shared" si="122"/>
        <v>-0.29166666666666669</v>
      </c>
      <c r="O272" s="169">
        <f>O271+N272</f>
        <v>-1.1666666666666667</v>
      </c>
      <c r="P272" s="215">
        <f t="shared" si="110"/>
        <v>-3.7916666666666661</v>
      </c>
      <c r="Q272" s="71"/>
      <c r="R272" s="71"/>
    </row>
    <row r="273" spans="2:18" ht="15.75" thickBot="1" x14ac:dyDescent="0.3">
      <c r="B273" s="139">
        <v>44091</v>
      </c>
      <c r="C273" s="214" t="s">
        <v>9</v>
      </c>
      <c r="D273" s="137"/>
      <c r="E273" s="137"/>
      <c r="F273" s="137"/>
      <c r="G273" s="169">
        <f t="shared" si="119"/>
        <v>0</v>
      </c>
      <c r="H273" s="169" t="b">
        <f t="shared" ref="H273" si="129">IF(G273&gt;$I$6,G273)</f>
        <v>0</v>
      </c>
      <c r="I273" s="171"/>
      <c r="J273" s="171"/>
      <c r="K273" s="169">
        <f t="shared" si="126"/>
        <v>0</v>
      </c>
      <c r="L273" s="172"/>
      <c r="M273" s="169">
        <f t="shared" si="127"/>
        <v>0</v>
      </c>
      <c r="N273" s="169">
        <f t="shared" si="122"/>
        <v>-0.29166666666666669</v>
      </c>
      <c r="O273" s="169">
        <f>O272+N273</f>
        <v>-1.4583333333333335</v>
      </c>
      <c r="P273" s="213">
        <f t="shared" si="110"/>
        <v>-4.083333333333333</v>
      </c>
      <c r="Q273" s="71"/>
      <c r="R273" s="71"/>
    </row>
    <row r="274" spans="2:18" x14ac:dyDescent="0.25">
      <c r="B274" s="139">
        <v>44092</v>
      </c>
      <c r="C274" s="42" t="s">
        <v>21</v>
      </c>
      <c r="D274" s="43"/>
      <c r="E274" s="43"/>
      <c r="F274" s="43"/>
      <c r="G274" s="34"/>
      <c r="H274" s="34"/>
      <c r="I274" s="28"/>
      <c r="J274" s="28"/>
      <c r="K274" s="34"/>
      <c r="L274" s="27"/>
      <c r="M274" s="34">
        <f t="shared" si="127"/>
        <v>0</v>
      </c>
      <c r="N274" s="34"/>
      <c r="O274" s="34"/>
      <c r="P274" s="213"/>
      <c r="Q274" s="72"/>
      <c r="R274" s="72">
        <f t="shared" ref="R274" si="130">Q274/5</f>
        <v>0</v>
      </c>
    </row>
    <row r="275" spans="2:18" ht="15.75" thickBot="1" x14ac:dyDescent="0.3">
      <c r="B275" s="139">
        <v>44093</v>
      </c>
      <c r="C275" s="42" t="s">
        <v>22</v>
      </c>
      <c r="D275" s="43"/>
      <c r="E275" s="43"/>
      <c r="F275" s="43"/>
      <c r="G275" s="34"/>
      <c r="H275" s="34"/>
      <c r="I275" s="28"/>
      <c r="J275" s="28"/>
      <c r="K275" s="34"/>
      <c r="L275" s="27"/>
      <c r="M275" s="34">
        <f t="shared" si="127"/>
        <v>0</v>
      </c>
      <c r="N275" s="34"/>
      <c r="O275" s="34"/>
      <c r="P275" s="215"/>
      <c r="Q275" s="71"/>
      <c r="R275" s="71"/>
    </row>
    <row r="276" spans="2:18" x14ac:dyDescent="0.25">
      <c r="B276" s="139">
        <v>44094</v>
      </c>
      <c r="C276" s="214" t="s">
        <v>6</v>
      </c>
      <c r="D276" s="137"/>
      <c r="E276" s="137"/>
      <c r="F276" s="137"/>
      <c r="G276" s="169"/>
      <c r="H276" s="169" t="b">
        <f t="shared" si="99"/>
        <v>0</v>
      </c>
      <c r="I276" s="171"/>
      <c r="J276" s="171"/>
      <c r="K276" s="169">
        <f t="shared" si="126"/>
        <v>0</v>
      </c>
      <c r="L276" s="172"/>
      <c r="M276" s="169">
        <f t="shared" si="127"/>
        <v>0</v>
      </c>
      <c r="N276" s="169">
        <f t="shared" si="122"/>
        <v>-0.29166666666666669</v>
      </c>
      <c r="O276" s="169">
        <f>N276</f>
        <v>-0.29166666666666669</v>
      </c>
      <c r="P276" s="213">
        <f>P273+N276</f>
        <v>-4.375</v>
      </c>
      <c r="Q276" s="71"/>
      <c r="R276" s="71"/>
    </row>
    <row r="277" spans="2:18" ht="15.75" thickBot="1" x14ac:dyDescent="0.3">
      <c r="B277" s="139">
        <v>44095</v>
      </c>
      <c r="C277" s="214" t="s">
        <v>7</v>
      </c>
      <c r="D277" s="137"/>
      <c r="E277" s="137"/>
      <c r="F277" s="137"/>
      <c r="G277" s="169">
        <f t="shared" si="119"/>
        <v>0</v>
      </c>
      <c r="H277" s="169" t="b">
        <f t="shared" si="99"/>
        <v>0</v>
      </c>
      <c r="I277" s="171"/>
      <c r="J277" s="171"/>
      <c r="K277" s="169">
        <f t="shared" si="126"/>
        <v>0</v>
      </c>
      <c r="L277" s="172"/>
      <c r="M277" s="169">
        <f t="shared" si="127"/>
        <v>0</v>
      </c>
      <c r="N277" s="169">
        <f t="shared" si="122"/>
        <v>-0.29166666666666669</v>
      </c>
      <c r="O277" s="169">
        <f>O276+N277</f>
        <v>-0.58333333333333337</v>
      </c>
      <c r="P277" s="215">
        <f t="shared" ref="P277:P308" si="131">P276+N277</f>
        <v>-4.666666666666667</v>
      </c>
      <c r="Q277" s="71"/>
      <c r="R277" s="71"/>
    </row>
    <row r="278" spans="2:18" x14ac:dyDescent="0.25">
      <c r="B278" s="139">
        <v>44096</v>
      </c>
      <c r="C278" s="214" t="s">
        <v>23</v>
      </c>
      <c r="D278" s="137"/>
      <c r="E278" s="137"/>
      <c r="F278" s="137"/>
      <c r="G278" s="169">
        <f t="shared" si="119"/>
        <v>0</v>
      </c>
      <c r="H278" s="169" t="b">
        <f t="shared" si="99"/>
        <v>0</v>
      </c>
      <c r="I278" s="171"/>
      <c r="J278" s="171"/>
      <c r="K278" s="169">
        <f t="shared" si="126"/>
        <v>0</v>
      </c>
      <c r="L278" s="172"/>
      <c r="M278" s="169">
        <f t="shared" si="127"/>
        <v>0</v>
      </c>
      <c r="N278" s="169">
        <f t="shared" si="122"/>
        <v>-0.29166666666666669</v>
      </c>
      <c r="O278" s="169">
        <f>O277+N278</f>
        <v>-0.875</v>
      </c>
      <c r="P278" s="213">
        <f t="shared" si="131"/>
        <v>-4.9583333333333339</v>
      </c>
      <c r="Q278" s="71"/>
      <c r="R278" s="71"/>
    </row>
    <row r="279" spans="2:18" ht="15.75" thickBot="1" x14ac:dyDescent="0.3">
      <c r="B279" s="139">
        <v>44097</v>
      </c>
      <c r="C279" s="214" t="s">
        <v>8</v>
      </c>
      <c r="D279" s="137"/>
      <c r="E279" s="137"/>
      <c r="F279" s="137"/>
      <c r="G279" s="169">
        <f t="shared" si="119"/>
        <v>0</v>
      </c>
      <c r="H279" s="169" t="b">
        <f t="shared" si="107"/>
        <v>0</v>
      </c>
      <c r="I279" s="137"/>
      <c r="J279" s="137"/>
      <c r="K279" s="169">
        <f t="shared" si="126"/>
        <v>0</v>
      </c>
      <c r="L279" s="172"/>
      <c r="M279" s="169">
        <f t="shared" si="127"/>
        <v>0</v>
      </c>
      <c r="N279" s="169">
        <f t="shared" si="122"/>
        <v>-0.29166666666666669</v>
      </c>
      <c r="O279" s="169">
        <f>O278+N279</f>
        <v>-1.1666666666666667</v>
      </c>
      <c r="P279" s="215">
        <f t="shared" si="110"/>
        <v>-5.2500000000000009</v>
      </c>
      <c r="Q279" s="71"/>
      <c r="R279" s="71"/>
    </row>
    <row r="280" spans="2:18" ht="15.75" thickBot="1" x14ac:dyDescent="0.3">
      <c r="B280" s="139">
        <v>44098</v>
      </c>
      <c r="C280" s="214" t="s">
        <v>9</v>
      </c>
      <c r="D280" s="137"/>
      <c r="E280" s="137"/>
      <c r="F280" s="137"/>
      <c r="G280" s="169">
        <f t="shared" si="119"/>
        <v>0</v>
      </c>
      <c r="H280" s="169" t="b">
        <f t="shared" si="107"/>
        <v>0</v>
      </c>
      <c r="I280" s="171"/>
      <c r="J280" s="171"/>
      <c r="K280" s="169">
        <f t="shared" si="126"/>
        <v>0</v>
      </c>
      <c r="L280" s="172"/>
      <c r="M280" s="169">
        <f t="shared" si="127"/>
        <v>0</v>
      </c>
      <c r="N280" s="169">
        <f t="shared" si="122"/>
        <v>-0.29166666666666669</v>
      </c>
      <c r="O280" s="169">
        <f>O279+N280</f>
        <v>-1.4583333333333335</v>
      </c>
      <c r="P280" s="213">
        <f t="shared" si="110"/>
        <v>-5.5416666666666679</v>
      </c>
      <c r="Q280" s="71"/>
      <c r="R280" s="71"/>
    </row>
    <row r="281" spans="2:18" x14ac:dyDescent="0.25">
      <c r="B281" s="139">
        <v>44099</v>
      </c>
      <c r="C281" s="42" t="s">
        <v>21</v>
      </c>
      <c r="D281" s="43"/>
      <c r="E281" s="43"/>
      <c r="F281" s="43"/>
      <c r="G281" s="34"/>
      <c r="H281" s="34"/>
      <c r="I281" s="28"/>
      <c r="J281" s="28"/>
      <c r="K281" s="34"/>
      <c r="L281" s="27"/>
      <c r="M281" s="34">
        <f t="shared" si="127"/>
        <v>0</v>
      </c>
      <c r="N281" s="34"/>
      <c r="O281" s="34"/>
      <c r="P281" s="213"/>
      <c r="Q281" s="72"/>
      <c r="R281" s="72">
        <f t="shared" ref="R281" si="132">Q281/5</f>
        <v>0</v>
      </c>
    </row>
    <row r="282" spans="2:18" ht="15.75" thickBot="1" x14ac:dyDescent="0.3">
      <c r="B282" s="139">
        <v>44100</v>
      </c>
      <c r="C282" s="42" t="s">
        <v>22</v>
      </c>
      <c r="D282" s="43"/>
      <c r="E282" s="43"/>
      <c r="F282" s="43"/>
      <c r="G282" s="34"/>
      <c r="H282" s="34"/>
      <c r="I282" s="28"/>
      <c r="J282" s="28"/>
      <c r="K282" s="34"/>
      <c r="L282" s="27"/>
      <c r="M282" s="34">
        <f t="shared" si="127"/>
        <v>0</v>
      </c>
      <c r="N282" s="34"/>
      <c r="O282" s="34"/>
      <c r="P282" s="215"/>
      <c r="Q282" s="71"/>
      <c r="R282" s="71"/>
    </row>
    <row r="283" spans="2:18" x14ac:dyDescent="0.25">
      <c r="B283" s="139">
        <v>44101</v>
      </c>
      <c r="C283" s="214" t="s">
        <v>6</v>
      </c>
      <c r="D283" s="137"/>
      <c r="E283" s="137"/>
      <c r="F283" s="137"/>
      <c r="G283" s="169"/>
      <c r="H283" s="169" t="b">
        <f t="shared" ref="H283:H346" si="133">IF(G283&gt;$I$6,G283)</f>
        <v>0</v>
      </c>
      <c r="I283" s="171"/>
      <c r="J283" s="171"/>
      <c r="K283" s="169">
        <f t="shared" si="126"/>
        <v>0</v>
      </c>
      <c r="L283" s="172"/>
      <c r="M283" s="169">
        <f t="shared" si="127"/>
        <v>0</v>
      </c>
      <c r="N283" s="169">
        <f t="shared" si="122"/>
        <v>-0.29166666666666669</v>
      </c>
      <c r="O283" s="169">
        <f>N283</f>
        <v>-0.29166666666666669</v>
      </c>
      <c r="P283" s="213">
        <f>P280+N283</f>
        <v>-5.8333333333333348</v>
      </c>
      <c r="Q283" s="71"/>
      <c r="R283" s="71"/>
    </row>
    <row r="284" spans="2:18" ht="15.75" thickBot="1" x14ac:dyDescent="0.3">
      <c r="B284" s="139">
        <v>44102</v>
      </c>
      <c r="C284" s="214" t="s">
        <v>7</v>
      </c>
      <c r="D284" s="137"/>
      <c r="E284" s="137"/>
      <c r="F284" s="137"/>
      <c r="G284" s="169">
        <f t="shared" si="119"/>
        <v>0</v>
      </c>
      <c r="H284" s="169" t="b">
        <f t="shared" si="133"/>
        <v>0</v>
      </c>
      <c r="I284" s="171"/>
      <c r="J284" s="171"/>
      <c r="K284" s="169">
        <f t="shared" si="126"/>
        <v>0</v>
      </c>
      <c r="L284" s="172"/>
      <c r="M284" s="169">
        <f t="shared" si="127"/>
        <v>0</v>
      </c>
      <c r="N284" s="169">
        <f t="shared" si="122"/>
        <v>-0.29166666666666669</v>
      </c>
      <c r="O284" s="169">
        <f>O283+N284</f>
        <v>-0.58333333333333337</v>
      </c>
      <c r="P284" s="215">
        <f t="shared" ref="P284:P315" si="134">P283+N284</f>
        <v>-6.1250000000000018</v>
      </c>
      <c r="Q284" s="71"/>
      <c r="R284" s="71"/>
    </row>
    <row r="285" spans="2:18" x14ac:dyDescent="0.25">
      <c r="B285" s="139">
        <v>44103</v>
      </c>
      <c r="C285" s="214" t="s">
        <v>23</v>
      </c>
      <c r="D285" s="137"/>
      <c r="E285" s="137"/>
      <c r="F285" s="137"/>
      <c r="G285" s="169">
        <f t="shared" si="119"/>
        <v>0</v>
      </c>
      <c r="H285" s="169" t="b">
        <f t="shared" si="133"/>
        <v>0</v>
      </c>
      <c r="I285" s="171"/>
      <c r="J285" s="171"/>
      <c r="K285" s="169">
        <f t="shared" si="126"/>
        <v>0</v>
      </c>
      <c r="L285" s="172"/>
      <c r="M285" s="169">
        <f t="shared" si="127"/>
        <v>0</v>
      </c>
      <c r="N285" s="169">
        <f t="shared" si="122"/>
        <v>-0.29166666666666669</v>
      </c>
      <c r="O285" s="169">
        <f>O284+N285</f>
        <v>-0.875</v>
      </c>
      <c r="P285" s="213">
        <f t="shared" si="134"/>
        <v>-6.4166666666666687</v>
      </c>
      <c r="Q285" s="71"/>
      <c r="R285" s="71"/>
    </row>
    <row r="286" spans="2:18" ht="15.75" thickBot="1" x14ac:dyDescent="0.3">
      <c r="B286" s="139">
        <v>44104</v>
      </c>
      <c r="C286" s="214" t="s">
        <v>8</v>
      </c>
      <c r="D286" s="137"/>
      <c r="E286" s="137"/>
      <c r="F286" s="137"/>
      <c r="G286" s="169">
        <f t="shared" si="119"/>
        <v>0</v>
      </c>
      <c r="H286" s="169" t="b">
        <f t="shared" si="133"/>
        <v>0</v>
      </c>
      <c r="I286" s="137"/>
      <c r="J286" s="137"/>
      <c r="K286" s="169">
        <f t="shared" si="126"/>
        <v>0</v>
      </c>
      <c r="L286" s="172"/>
      <c r="M286" s="169">
        <f t="shared" si="127"/>
        <v>0</v>
      </c>
      <c r="N286" s="169">
        <f t="shared" ref="N286:N348" si="135">M286-$D$6</f>
        <v>-0.31875000000000003</v>
      </c>
      <c r="O286" s="169">
        <f>O285+N286</f>
        <v>-1.1937500000000001</v>
      </c>
      <c r="P286" s="215">
        <f>N286</f>
        <v>-0.31875000000000003</v>
      </c>
      <c r="Q286" s="71"/>
      <c r="R286" s="71"/>
    </row>
    <row r="287" spans="2:18" ht="15.75" thickBot="1" x14ac:dyDescent="0.3">
      <c r="B287" s="139">
        <v>44105</v>
      </c>
      <c r="C287" s="214" t="s">
        <v>9</v>
      </c>
      <c r="D287" s="137"/>
      <c r="E287" s="137"/>
      <c r="F287" s="137"/>
      <c r="G287" s="169">
        <f t="shared" si="119"/>
        <v>0</v>
      </c>
      <c r="H287" s="169" t="b">
        <f t="shared" si="133"/>
        <v>0</v>
      </c>
      <c r="I287" s="171"/>
      <c r="J287" s="171"/>
      <c r="K287" s="169">
        <f t="shared" si="126"/>
        <v>0</v>
      </c>
      <c r="L287" s="172"/>
      <c r="M287" s="169">
        <f t="shared" si="127"/>
        <v>0</v>
      </c>
      <c r="N287" s="169">
        <f t="shared" si="135"/>
        <v>-0.31875000000000003</v>
      </c>
      <c r="O287" s="169">
        <f>O286+N287</f>
        <v>-1.5125000000000002</v>
      </c>
      <c r="P287" s="213">
        <f t="shared" si="110"/>
        <v>-0.63750000000000007</v>
      </c>
      <c r="Q287" s="71"/>
      <c r="R287" s="71"/>
    </row>
    <row r="288" spans="2:18" x14ac:dyDescent="0.25">
      <c r="B288" s="139">
        <v>44106</v>
      </c>
      <c r="C288" s="42" t="s">
        <v>21</v>
      </c>
      <c r="D288" s="43"/>
      <c r="E288" s="43"/>
      <c r="F288" s="43"/>
      <c r="G288" s="34"/>
      <c r="H288" s="34"/>
      <c r="I288" s="28"/>
      <c r="J288" s="28"/>
      <c r="K288" s="34"/>
      <c r="L288" s="27"/>
      <c r="M288" s="34">
        <f t="shared" si="127"/>
        <v>0</v>
      </c>
      <c r="N288" s="34"/>
      <c r="O288" s="34"/>
      <c r="P288" s="213"/>
      <c r="Q288" s="72"/>
      <c r="R288" s="72">
        <f t="shared" ref="R288" si="136">Q288/5</f>
        <v>0</v>
      </c>
    </row>
    <row r="289" spans="2:18" ht="15.75" thickBot="1" x14ac:dyDescent="0.3">
      <c r="B289" s="139">
        <v>44107</v>
      </c>
      <c r="C289" s="42" t="s">
        <v>22</v>
      </c>
      <c r="D289" s="43"/>
      <c r="E289" s="43"/>
      <c r="F289" s="43"/>
      <c r="G289" s="34"/>
      <c r="H289" s="34"/>
      <c r="I289" s="28"/>
      <c r="J289" s="28"/>
      <c r="K289" s="34"/>
      <c r="L289" s="27"/>
      <c r="M289" s="34">
        <f t="shared" si="127"/>
        <v>0</v>
      </c>
      <c r="N289" s="34"/>
      <c r="O289" s="34"/>
      <c r="P289" s="215"/>
      <c r="Q289" s="71"/>
      <c r="R289" s="71"/>
    </row>
    <row r="290" spans="2:18" x14ac:dyDescent="0.25">
      <c r="B290" s="139">
        <v>44108</v>
      </c>
      <c r="C290" s="214" t="s">
        <v>6</v>
      </c>
      <c r="D290" s="137"/>
      <c r="E290" s="137"/>
      <c r="F290" s="137"/>
      <c r="G290" s="169"/>
      <c r="H290" s="169" t="b">
        <f t="shared" si="107"/>
        <v>0</v>
      </c>
      <c r="I290" s="171"/>
      <c r="J290" s="171"/>
      <c r="K290" s="169">
        <f t="shared" si="126"/>
        <v>0</v>
      </c>
      <c r="L290" s="172"/>
      <c r="M290" s="169">
        <f t="shared" si="127"/>
        <v>0</v>
      </c>
      <c r="N290" s="169">
        <f t="shared" si="135"/>
        <v>-0.31875000000000003</v>
      </c>
      <c r="O290" s="169">
        <f>N290</f>
        <v>-0.31875000000000003</v>
      </c>
      <c r="P290" s="213">
        <f>P287+N290</f>
        <v>-0.95625000000000004</v>
      </c>
      <c r="Q290" s="71"/>
      <c r="R290" s="71"/>
    </row>
    <row r="291" spans="2:18" ht="15.75" thickBot="1" x14ac:dyDescent="0.3">
      <c r="B291" s="139">
        <v>44109</v>
      </c>
      <c r="C291" s="214" t="s">
        <v>7</v>
      </c>
      <c r="D291" s="137"/>
      <c r="E291" s="137"/>
      <c r="F291" s="137"/>
      <c r="G291" s="169">
        <f t="shared" si="119"/>
        <v>0</v>
      </c>
      <c r="H291" s="169" t="b">
        <f t="shared" si="107"/>
        <v>0</v>
      </c>
      <c r="I291" s="171"/>
      <c r="J291" s="171"/>
      <c r="K291" s="169">
        <f t="shared" si="126"/>
        <v>0</v>
      </c>
      <c r="L291" s="172"/>
      <c r="M291" s="169">
        <f t="shared" si="127"/>
        <v>0</v>
      </c>
      <c r="N291" s="169">
        <f t="shared" si="135"/>
        <v>-0.31875000000000003</v>
      </c>
      <c r="O291" s="169">
        <f>O290+N291</f>
        <v>-0.63750000000000007</v>
      </c>
      <c r="P291" s="215">
        <f t="shared" ref="P291:P322" si="137">P290+N291</f>
        <v>-1.2750000000000001</v>
      </c>
      <c r="Q291" s="71"/>
      <c r="R291" s="71"/>
    </row>
    <row r="292" spans="2:18" x14ac:dyDescent="0.25">
      <c r="B292" s="139">
        <v>44110</v>
      </c>
      <c r="C292" s="214" t="s">
        <v>23</v>
      </c>
      <c r="D292" s="137"/>
      <c r="E292" s="137"/>
      <c r="F292" s="137"/>
      <c r="G292" s="169">
        <f t="shared" si="119"/>
        <v>0</v>
      </c>
      <c r="H292" s="169" t="b">
        <f t="shared" si="107"/>
        <v>0</v>
      </c>
      <c r="I292" s="171"/>
      <c r="J292" s="171"/>
      <c r="K292" s="169">
        <f t="shared" si="126"/>
        <v>0</v>
      </c>
      <c r="L292" s="172"/>
      <c r="M292" s="169">
        <f t="shared" si="127"/>
        <v>0</v>
      </c>
      <c r="N292" s="169">
        <f t="shared" si="135"/>
        <v>-0.31875000000000003</v>
      </c>
      <c r="O292" s="169">
        <f>O291+N292</f>
        <v>-0.95625000000000004</v>
      </c>
      <c r="P292" s="213">
        <f t="shared" si="137"/>
        <v>-1.5937500000000002</v>
      </c>
      <c r="Q292" s="71"/>
      <c r="R292" s="71"/>
    </row>
    <row r="293" spans="2:18" ht="15.75" thickBot="1" x14ac:dyDescent="0.3">
      <c r="B293" s="139">
        <v>44111</v>
      </c>
      <c r="C293" s="214" t="s">
        <v>8</v>
      </c>
      <c r="D293" s="137"/>
      <c r="E293" s="137"/>
      <c r="F293" s="137"/>
      <c r="G293" s="169">
        <f t="shared" si="119"/>
        <v>0</v>
      </c>
      <c r="H293" s="169" t="b">
        <f t="shared" ref="H293:H294" si="138">IF(G293&gt;$I$6,G293)</f>
        <v>0</v>
      </c>
      <c r="I293" s="137"/>
      <c r="J293" s="137"/>
      <c r="K293" s="169">
        <f t="shared" si="126"/>
        <v>0</v>
      </c>
      <c r="L293" s="172"/>
      <c r="M293" s="169">
        <f t="shared" si="127"/>
        <v>0</v>
      </c>
      <c r="N293" s="169">
        <f t="shared" si="135"/>
        <v>-0.31875000000000003</v>
      </c>
      <c r="O293" s="169">
        <f>O292+N293</f>
        <v>-1.2750000000000001</v>
      </c>
      <c r="P293" s="215">
        <f t="shared" si="110"/>
        <v>-1.9125000000000003</v>
      </c>
      <c r="Q293" s="71"/>
      <c r="R293" s="71"/>
    </row>
    <row r="294" spans="2:18" ht="15.75" thickBot="1" x14ac:dyDescent="0.3">
      <c r="B294" s="139">
        <v>44112</v>
      </c>
      <c r="C294" s="214" t="s">
        <v>9</v>
      </c>
      <c r="D294" s="137"/>
      <c r="E294" s="137"/>
      <c r="F294" s="137"/>
      <c r="G294" s="169">
        <f t="shared" si="119"/>
        <v>0</v>
      </c>
      <c r="H294" s="169" t="b">
        <f t="shared" si="138"/>
        <v>0</v>
      </c>
      <c r="I294" s="171"/>
      <c r="J294" s="171"/>
      <c r="K294" s="169">
        <f t="shared" si="126"/>
        <v>0</v>
      </c>
      <c r="L294" s="172"/>
      <c r="M294" s="169">
        <f t="shared" si="127"/>
        <v>0</v>
      </c>
      <c r="N294" s="169">
        <f t="shared" si="135"/>
        <v>-0.31875000000000003</v>
      </c>
      <c r="O294" s="169">
        <f>O293+N294</f>
        <v>-1.5937500000000002</v>
      </c>
      <c r="P294" s="213">
        <f t="shared" si="110"/>
        <v>-2.2312500000000002</v>
      </c>
      <c r="Q294" s="71"/>
      <c r="R294" s="71"/>
    </row>
    <row r="295" spans="2:18" x14ac:dyDescent="0.25">
      <c r="B295" s="139">
        <v>44113</v>
      </c>
      <c r="C295" s="42" t="s">
        <v>21</v>
      </c>
      <c r="D295" s="43"/>
      <c r="E295" s="43"/>
      <c r="F295" s="43"/>
      <c r="G295" s="34"/>
      <c r="H295" s="34"/>
      <c r="I295" s="28"/>
      <c r="J295" s="28"/>
      <c r="K295" s="34"/>
      <c r="L295" s="27"/>
      <c r="M295" s="34">
        <f t="shared" si="127"/>
        <v>0</v>
      </c>
      <c r="N295" s="34"/>
      <c r="O295" s="34"/>
      <c r="P295" s="213"/>
      <c r="Q295" s="72">
        <f t="shared" ref="Q295" si="139">SUM(M291:M295)</f>
        <v>0</v>
      </c>
      <c r="R295" s="72">
        <f t="shared" ref="R295" si="140">Q295/5</f>
        <v>0</v>
      </c>
    </row>
    <row r="296" spans="2:18" ht="15.75" thickBot="1" x14ac:dyDescent="0.3">
      <c r="B296" s="139">
        <v>44114</v>
      </c>
      <c r="C296" s="42" t="s">
        <v>22</v>
      </c>
      <c r="D296" s="43"/>
      <c r="E296" s="43"/>
      <c r="F296" s="43"/>
      <c r="G296" s="34"/>
      <c r="H296" s="34"/>
      <c r="I296" s="28"/>
      <c r="J296" s="28"/>
      <c r="K296" s="34"/>
      <c r="L296" s="27"/>
      <c r="M296" s="34">
        <f t="shared" si="127"/>
        <v>0</v>
      </c>
      <c r="N296" s="34"/>
      <c r="O296" s="34"/>
      <c r="P296" s="215"/>
      <c r="Q296" s="71"/>
      <c r="R296" s="71"/>
    </row>
    <row r="297" spans="2:18" x14ac:dyDescent="0.25">
      <c r="B297" s="139">
        <v>44115</v>
      </c>
      <c r="C297" s="214" t="s">
        <v>6</v>
      </c>
      <c r="D297" s="137"/>
      <c r="E297" s="137"/>
      <c r="F297" s="137"/>
      <c r="G297" s="169"/>
      <c r="H297" s="169" t="b">
        <f t="shared" si="133"/>
        <v>0</v>
      </c>
      <c r="I297" s="171"/>
      <c r="J297" s="171"/>
      <c r="K297" s="169">
        <f t="shared" si="126"/>
        <v>0</v>
      </c>
      <c r="L297" s="172"/>
      <c r="M297" s="169">
        <f t="shared" si="127"/>
        <v>0</v>
      </c>
      <c r="N297" s="169">
        <f t="shared" si="135"/>
        <v>-0.31875000000000003</v>
      </c>
      <c r="O297" s="169">
        <f>N297</f>
        <v>-0.31875000000000003</v>
      </c>
      <c r="P297" s="213">
        <f>P294+N297</f>
        <v>-2.5500000000000003</v>
      </c>
      <c r="Q297" s="71"/>
      <c r="R297" s="71"/>
    </row>
    <row r="298" spans="2:18" ht="15.75" thickBot="1" x14ac:dyDescent="0.3">
      <c r="B298" s="139">
        <v>44116</v>
      </c>
      <c r="C298" s="214" t="s">
        <v>7</v>
      </c>
      <c r="D298" s="137"/>
      <c r="E298" s="137"/>
      <c r="F298" s="137"/>
      <c r="G298" s="169">
        <f t="shared" si="119"/>
        <v>0</v>
      </c>
      <c r="H298" s="169" t="b">
        <f t="shared" si="133"/>
        <v>0</v>
      </c>
      <c r="I298" s="171"/>
      <c r="J298" s="171"/>
      <c r="K298" s="169">
        <f t="shared" si="126"/>
        <v>0</v>
      </c>
      <c r="L298" s="172"/>
      <c r="M298" s="169">
        <f t="shared" si="127"/>
        <v>0</v>
      </c>
      <c r="N298" s="169">
        <f t="shared" si="135"/>
        <v>-0.31875000000000003</v>
      </c>
      <c r="O298" s="169">
        <f>O297+N298</f>
        <v>-0.63750000000000007</v>
      </c>
      <c r="P298" s="215">
        <f t="shared" ref="P298:P357" si="141">P297+N298</f>
        <v>-2.8687500000000004</v>
      </c>
      <c r="Q298" s="71"/>
      <c r="R298" s="71"/>
    </row>
    <row r="299" spans="2:18" x14ac:dyDescent="0.25">
      <c r="B299" s="139">
        <v>44117</v>
      </c>
      <c r="C299" s="214" t="s">
        <v>23</v>
      </c>
      <c r="D299" s="137"/>
      <c r="E299" s="137"/>
      <c r="F299" s="137"/>
      <c r="G299" s="169">
        <f t="shared" si="119"/>
        <v>0</v>
      </c>
      <c r="H299" s="169" t="b">
        <f t="shared" ref="H299:H362" si="142">IF(G299&gt;$I$6,G299-$I$6)</f>
        <v>0</v>
      </c>
      <c r="I299" s="171"/>
      <c r="J299" s="171"/>
      <c r="K299" s="169">
        <f t="shared" si="126"/>
        <v>0</v>
      </c>
      <c r="L299" s="172"/>
      <c r="M299" s="169">
        <f t="shared" si="127"/>
        <v>0</v>
      </c>
      <c r="N299" s="169">
        <f t="shared" si="135"/>
        <v>-0.31875000000000003</v>
      </c>
      <c r="O299" s="169">
        <f>O298+N299</f>
        <v>-0.95625000000000004</v>
      </c>
      <c r="P299" s="213">
        <f t="shared" si="141"/>
        <v>-3.1875000000000004</v>
      </c>
      <c r="Q299" s="71"/>
      <c r="R299" s="71"/>
    </row>
    <row r="300" spans="2:18" ht="15.75" thickBot="1" x14ac:dyDescent="0.3">
      <c r="B300" s="139">
        <v>44118</v>
      </c>
      <c r="C300" s="214" t="s">
        <v>8</v>
      </c>
      <c r="D300" s="137"/>
      <c r="E300" s="137"/>
      <c r="F300" s="137"/>
      <c r="G300" s="169">
        <f t="shared" si="119"/>
        <v>0</v>
      </c>
      <c r="H300" s="169" t="b">
        <f t="shared" si="142"/>
        <v>0</v>
      </c>
      <c r="I300" s="137"/>
      <c r="J300" s="137"/>
      <c r="K300" s="169">
        <f t="shared" si="126"/>
        <v>0</v>
      </c>
      <c r="L300" s="172"/>
      <c r="M300" s="169">
        <f t="shared" si="127"/>
        <v>0</v>
      </c>
      <c r="N300" s="169">
        <f t="shared" si="135"/>
        <v>-0.31875000000000003</v>
      </c>
      <c r="O300" s="169">
        <f>O299+N300</f>
        <v>-1.2750000000000001</v>
      </c>
      <c r="P300" s="215">
        <f t="shared" si="141"/>
        <v>-3.5062500000000005</v>
      </c>
      <c r="Q300" s="71"/>
      <c r="R300" s="71"/>
    </row>
    <row r="301" spans="2:18" ht="15.75" thickBot="1" x14ac:dyDescent="0.3">
      <c r="B301" s="139">
        <v>44119</v>
      </c>
      <c r="C301" s="214" t="s">
        <v>9</v>
      </c>
      <c r="D301" s="137"/>
      <c r="E301" s="137"/>
      <c r="F301" s="137"/>
      <c r="G301" s="169">
        <f t="shared" si="119"/>
        <v>0</v>
      </c>
      <c r="H301" s="169" t="b">
        <f t="shared" si="142"/>
        <v>0</v>
      </c>
      <c r="I301" s="171"/>
      <c r="J301" s="171"/>
      <c r="K301" s="169">
        <f t="shared" si="126"/>
        <v>0</v>
      </c>
      <c r="L301" s="172"/>
      <c r="M301" s="169">
        <f t="shared" si="127"/>
        <v>0</v>
      </c>
      <c r="N301" s="169">
        <f t="shared" si="135"/>
        <v>-0.31875000000000003</v>
      </c>
      <c r="O301" s="169">
        <f>O300+N301</f>
        <v>-1.5937500000000002</v>
      </c>
      <c r="P301" s="213">
        <f t="shared" si="141"/>
        <v>-3.8250000000000006</v>
      </c>
      <c r="Q301" s="71"/>
      <c r="R301" s="71"/>
    </row>
    <row r="302" spans="2:18" x14ac:dyDescent="0.25">
      <c r="B302" s="139">
        <v>44120</v>
      </c>
      <c r="C302" s="42" t="s">
        <v>21</v>
      </c>
      <c r="D302" s="43"/>
      <c r="E302" s="43"/>
      <c r="F302" s="43"/>
      <c r="G302" s="34"/>
      <c r="H302" s="34"/>
      <c r="I302" s="28"/>
      <c r="J302" s="28"/>
      <c r="K302" s="34"/>
      <c r="L302" s="27"/>
      <c r="M302" s="34">
        <f t="shared" si="127"/>
        <v>0</v>
      </c>
      <c r="N302" s="34"/>
      <c r="O302" s="34"/>
      <c r="P302" s="213"/>
      <c r="Q302" s="72">
        <f t="shared" ref="Q302" si="143">SUM(M298:M302)</f>
        <v>0</v>
      </c>
      <c r="R302" s="72">
        <f t="shared" ref="R302" si="144">Q302/5</f>
        <v>0</v>
      </c>
    </row>
    <row r="303" spans="2:18" ht="15.75" thickBot="1" x14ac:dyDescent="0.3">
      <c r="B303" s="139">
        <v>44121</v>
      </c>
      <c r="C303" s="42" t="s">
        <v>22</v>
      </c>
      <c r="D303" s="43"/>
      <c r="E303" s="43"/>
      <c r="F303" s="43"/>
      <c r="G303" s="34"/>
      <c r="H303" s="34"/>
      <c r="I303" s="28"/>
      <c r="J303" s="28"/>
      <c r="K303" s="34"/>
      <c r="L303" s="27"/>
      <c r="M303" s="34">
        <f t="shared" si="127"/>
        <v>0</v>
      </c>
      <c r="N303" s="34"/>
      <c r="O303" s="34"/>
      <c r="P303" s="215"/>
      <c r="Q303" s="71"/>
      <c r="R303" s="71"/>
    </row>
    <row r="304" spans="2:18" x14ac:dyDescent="0.25">
      <c r="B304" s="139">
        <v>44122</v>
      </c>
      <c r="C304" s="214" t="s">
        <v>6</v>
      </c>
      <c r="D304" s="137"/>
      <c r="E304" s="137"/>
      <c r="F304" s="137"/>
      <c r="G304" s="169"/>
      <c r="H304" s="169" t="b">
        <f t="shared" ref="H304:H305" si="145">IF(G304&gt;$I$6,G304)</f>
        <v>0</v>
      </c>
      <c r="I304" s="171"/>
      <c r="J304" s="171"/>
      <c r="K304" s="169">
        <f t="shared" si="126"/>
        <v>0</v>
      </c>
      <c r="L304" s="172"/>
      <c r="M304" s="169">
        <f t="shared" si="127"/>
        <v>0</v>
      </c>
      <c r="N304" s="169">
        <f t="shared" si="135"/>
        <v>-0.31875000000000003</v>
      </c>
      <c r="O304" s="169">
        <f>N304</f>
        <v>-0.31875000000000003</v>
      </c>
      <c r="P304" s="213">
        <f>P301+N304</f>
        <v>-4.1437500000000007</v>
      </c>
      <c r="Q304" s="71"/>
      <c r="R304" s="71"/>
    </row>
    <row r="305" spans="2:18" ht="15.75" thickBot="1" x14ac:dyDescent="0.3">
      <c r="B305" s="139">
        <v>44123</v>
      </c>
      <c r="C305" s="214" t="s">
        <v>7</v>
      </c>
      <c r="D305" s="137"/>
      <c r="E305" s="137"/>
      <c r="F305" s="137"/>
      <c r="G305" s="169">
        <f t="shared" si="119"/>
        <v>0</v>
      </c>
      <c r="H305" s="169" t="b">
        <f t="shared" si="145"/>
        <v>0</v>
      </c>
      <c r="I305" s="171"/>
      <c r="J305" s="171"/>
      <c r="K305" s="169">
        <f t="shared" si="126"/>
        <v>0</v>
      </c>
      <c r="L305" s="172"/>
      <c r="M305" s="169">
        <f t="shared" si="127"/>
        <v>0</v>
      </c>
      <c r="N305" s="169">
        <f t="shared" si="135"/>
        <v>-0.31875000000000003</v>
      </c>
      <c r="O305" s="169">
        <f>O304+N305</f>
        <v>-0.63750000000000007</v>
      </c>
      <c r="P305" s="215">
        <f t="shared" ref="P305:P336" si="146">P304+N305</f>
        <v>-4.4625000000000004</v>
      </c>
      <c r="Q305" s="71"/>
      <c r="R305" s="71"/>
    </row>
    <row r="306" spans="2:18" x14ac:dyDescent="0.25">
      <c r="B306" s="139">
        <v>44124</v>
      </c>
      <c r="C306" s="214" t="s">
        <v>23</v>
      </c>
      <c r="D306" s="137"/>
      <c r="E306" s="137"/>
      <c r="F306" s="137"/>
      <c r="G306" s="169">
        <f t="shared" si="119"/>
        <v>0</v>
      </c>
      <c r="H306" s="169" t="b">
        <f t="shared" si="133"/>
        <v>0</v>
      </c>
      <c r="I306" s="171"/>
      <c r="J306" s="171"/>
      <c r="K306" s="169">
        <f t="shared" si="126"/>
        <v>0</v>
      </c>
      <c r="L306" s="172"/>
      <c r="M306" s="169">
        <f t="shared" si="127"/>
        <v>0</v>
      </c>
      <c r="N306" s="169">
        <f t="shared" si="135"/>
        <v>-0.31875000000000003</v>
      </c>
      <c r="O306" s="169">
        <f>O305+N306</f>
        <v>-0.95625000000000004</v>
      </c>
      <c r="P306" s="213">
        <f t="shared" si="146"/>
        <v>-4.78125</v>
      </c>
      <c r="Q306" s="71"/>
      <c r="R306" s="71"/>
    </row>
    <row r="307" spans="2:18" ht="15.75" thickBot="1" x14ac:dyDescent="0.3">
      <c r="B307" s="139">
        <v>44125</v>
      </c>
      <c r="C307" s="214" t="s">
        <v>8</v>
      </c>
      <c r="D307" s="137"/>
      <c r="E307" s="137"/>
      <c r="F307" s="137"/>
      <c r="G307" s="169">
        <f t="shared" si="119"/>
        <v>0</v>
      </c>
      <c r="H307" s="169" t="b">
        <f t="shared" si="133"/>
        <v>0</v>
      </c>
      <c r="I307" s="137"/>
      <c r="J307" s="137"/>
      <c r="K307" s="169">
        <f t="shared" si="126"/>
        <v>0</v>
      </c>
      <c r="L307" s="172"/>
      <c r="M307" s="169">
        <f t="shared" si="127"/>
        <v>0</v>
      </c>
      <c r="N307" s="169">
        <f t="shared" si="135"/>
        <v>-0.31875000000000003</v>
      </c>
      <c r="O307" s="169">
        <f>O306+N307</f>
        <v>-1.2750000000000001</v>
      </c>
      <c r="P307" s="215">
        <f t="shared" si="141"/>
        <v>-5.0999999999999996</v>
      </c>
      <c r="Q307" s="71"/>
      <c r="R307" s="71"/>
    </row>
    <row r="308" spans="2:18" ht="15.75" thickBot="1" x14ac:dyDescent="0.3">
      <c r="B308" s="139">
        <v>44126</v>
      </c>
      <c r="C308" s="214" t="s">
        <v>9</v>
      </c>
      <c r="D308" s="137"/>
      <c r="E308" s="137"/>
      <c r="F308" s="137"/>
      <c r="G308" s="169">
        <f t="shared" si="119"/>
        <v>0</v>
      </c>
      <c r="H308" s="169" t="b">
        <f t="shared" si="133"/>
        <v>0</v>
      </c>
      <c r="I308" s="171"/>
      <c r="J308" s="171"/>
      <c r="K308" s="169">
        <f t="shared" si="126"/>
        <v>0</v>
      </c>
      <c r="L308" s="172"/>
      <c r="M308" s="169">
        <f t="shared" si="127"/>
        <v>0</v>
      </c>
      <c r="N308" s="169">
        <f t="shared" si="135"/>
        <v>-0.31875000000000003</v>
      </c>
      <c r="O308" s="169">
        <f>O307+N308</f>
        <v>-1.5937500000000002</v>
      </c>
      <c r="P308" s="213">
        <f t="shared" si="141"/>
        <v>-5.4187499999999993</v>
      </c>
      <c r="Q308" s="71"/>
      <c r="R308" s="71"/>
    </row>
    <row r="309" spans="2:18" x14ac:dyDescent="0.25">
      <c r="B309" s="139">
        <v>44127</v>
      </c>
      <c r="C309" s="42" t="s">
        <v>21</v>
      </c>
      <c r="D309" s="43"/>
      <c r="E309" s="43"/>
      <c r="F309" s="43"/>
      <c r="G309" s="34"/>
      <c r="H309" s="34"/>
      <c r="I309" s="28"/>
      <c r="J309" s="28"/>
      <c r="K309" s="34"/>
      <c r="L309" s="27"/>
      <c r="M309" s="34">
        <f t="shared" si="127"/>
        <v>0</v>
      </c>
      <c r="N309" s="34"/>
      <c r="O309" s="34"/>
      <c r="P309" s="213"/>
      <c r="Q309" s="72"/>
      <c r="R309" s="72">
        <f t="shared" ref="R309" si="147">Q309/5</f>
        <v>0</v>
      </c>
    </row>
    <row r="310" spans="2:18" ht="15.75" thickBot="1" x14ac:dyDescent="0.3">
      <c r="B310" s="139">
        <v>44128</v>
      </c>
      <c r="C310" s="42" t="s">
        <v>22</v>
      </c>
      <c r="D310" s="43"/>
      <c r="E310" s="43"/>
      <c r="F310" s="43"/>
      <c r="G310" s="34"/>
      <c r="H310" s="34"/>
      <c r="I310" s="28"/>
      <c r="J310" s="28"/>
      <c r="K310" s="34"/>
      <c r="L310" s="27"/>
      <c r="M310" s="34">
        <f t="shared" si="127"/>
        <v>0</v>
      </c>
      <c r="N310" s="34"/>
      <c r="O310" s="34"/>
      <c r="P310" s="215"/>
      <c r="Q310" s="71"/>
      <c r="R310" s="71"/>
    </row>
    <row r="311" spans="2:18" x14ac:dyDescent="0.25">
      <c r="B311" s="139">
        <v>44129</v>
      </c>
      <c r="C311" s="214" t="s">
        <v>6</v>
      </c>
      <c r="D311" s="137"/>
      <c r="E311" s="137"/>
      <c r="F311" s="137"/>
      <c r="G311" s="169"/>
      <c r="H311" s="169" t="b">
        <f t="shared" si="142"/>
        <v>0</v>
      </c>
      <c r="I311" s="171"/>
      <c r="J311" s="171"/>
      <c r="K311" s="169">
        <f t="shared" si="126"/>
        <v>0</v>
      </c>
      <c r="L311" s="172"/>
      <c r="M311" s="169">
        <f t="shared" si="127"/>
        <v>0</v>
      </c>
      <c r="N311" s="169">
        <f t="shared" si="135"/>
        <v>-0.31875000000000003</v>
      </c>
      <c r="O311" s="169">
        <f>N311</f>
        <v>-0.31875000000000003</v>
      </c>
      <c r="P311" s="213">
        <f>P308+N311</f>
        <v>-5.7374999999999989</v>
      </c>
      <c r="Q311" s="71"/>
      <c r="R311" s="71"/>
    </row>
    <row r="312" spans="2:18" ht="15.75" thickBot="1" x14ac:dyDescent="0.3">
      <c r="B312" s="139">
        <v>44130</v>
      </c>
      <c r="C312" s="214" t="s">
        <v>7</v>
      </c>
      <c r="D312" s="137"/>
      <c r="E312" s="137"/>
      <c r="F312" s="137"/>
      <c r="G312" s="169">
        <f t="shared" si="119"/>
        <v>0</v>
      </c>
      <c r="H312" s="169" t="b">
        <f t="shared" si="142"/>
        <v>0</v>
      </c>
      <c r="I312" s="171"/>
      <c r="J312" s="171"/>
      <c r="K312" s="169">
        <f t="shared" si="126"/>
        <v>0</v>
      </c>
      <c r="L312" s="172"/>
      <c r="M312" s="169">
        <f t="shared" si="127"/>
        <v>0</v>
      </c>
      <c r="N312" s="169">
        <f t="shared" si="135"/>
        <v>-0.31875000000000003</v>
      </c>
      <c r="O312" s="169">
        <f>O311+N312</f>
        <v>-0.63750000000000007</v>
      </c>
      <c r="P312" s="215">
        <f t="shared" ref="P312:P343" si="148">P311+N312</f>
        <v>-6.0562499999999986</v>
      </c>
      <c r="Q312" s="71"/>
      <c r="R312" s="71"/>
    </row>
    <row r="313" spans="2:18" x14ac:dyDescent="0.25">
      <c r="B313" s="139">
        <v>44131</v>
      </c>
      <c r="C313" s="214" t="s">
        <v>23</v>
      </c>
      <c r="D313" s="137"/>
      <c r="E313" s="137"/>
      <c r="F313" s="137"/>
      <c r="G313" s="169">
        <f t="shared" si="119"/>
        <v>0</v>
      </c>
      <c r="H313" s="169" t="b">
        <f t="shared" ref="H313:H315" si="149">IF(G313&gt;$I$6,G313)</f>
        <v>0</v>
      </c>
      <c r="I313" s="171"/>
      <c r="J313" s="171"/>
      <c r="K313" s="169">
        <f t="shared" si="126"/>
        <v>0</v>
      </c>
      <c r="L313" s="172"/>
      <c r="M313" s="169">
        <f t="shared" si="127"/>
        <v>0</v>
      </c>
      <c r="N313" s="169">
        <f t="shared" si="135"/>
        <v>-0.31875000000000003</v>
      </c>
      <c r="O313" s="169">
        <f>O312+N313</f>
        <v>-0.95625000000000004</v>
      </c>
      <c r="P313" s="213">
        <f t="shared" si="148"/>
        <v>-6.3749999999999982</v>
      </c>
      <c r="Q313" s="71"/>
      <c r="R313" s="71"/>
    </row>
    <row r="314" spans="2:18" ht="15.75" thickBot="1" x14ac:dyDescent="0.3">
      <c r="B314" s="139">
        <v>44132</v>
      </c>
      <c r="C314" s="214" t="s">
        <v>8</v>
      </c>
      <c r="D314" s="137"/>
      <c r="E314" s="137"/>
      <c r="F314" s="137"/>
      <c r="G314" s="169">
        <f t="shared" si="119"/>
        <v>0</v>
      </c>
      <c r="H314" s="169" t="b">
        <f t="shared" si="149"/>
        <v>0</v>
      </c>
      <c r="I314" s="137"/>
      <c r="J314" s="137"/>
      <c r="K314" s="169">
        <f t="shared" si="126"/>
        <v>0</v>
      </c>
      <c r="L314" s="172"/>
      <c r="M314" s="169">
        <f t="shared" si="127"/>
        <v>0</v>
      </c>
      <c r="N314" s="169">
        <f t="shared" si="135"/>
        <v>-0.31875000000000003</v>
      </c>
      <c r="O314" s="169">
        <f>O313+N314</f>
        <v>-1.2750000000000001</v>
      </c>
      <c r="P314" s="215">
        <f t="shared" si="141"/>
        <v>-6.6937499999999979</v>
      </c>
      <c r="Q314" s="71"/>
      <c r="R314" s="71"/>
    </row>
    <row r="315" spans="2:18" ht="15.75" thickBot="1" x14ac:dyDescent="0.3">
      <c r="B315" s="139">
        <v>44133</v>
      </c>
      <c r="C315" s="214" t="s">
        <v>9</v>
      </c>
      <c r="D315" s="137"/>
      <c r="E315" s="137"/>
      <c r="F315" s="137"/>
      <c r="G315" s="169">
        <f t="shared" si="119"/>
        <v>0</v>
      </c>
      <c r="H315" s="169" t="b">
        <f t="shared" si="149"/>
        <v>0</v>
      </c>
      <c r="I315" s="171"/>
      <c r="J315" s="171"/>
      <c r="K315" s="169">
        <f t="shared" si="126"/>
        <v>0</v>
      </c>
      <c r="L315" s="172"/>
      <c r="M315" s="169">
        <f t="shared" si="127"/>
        <v>0</v>
      </c>
      <c r="N315" s="169">
        <f t="shared" si="135"/>
        <v>-0.31875000000000003</v>
      </c>
      <c r="O315" s="169">
        <f>O314+N315</f>
        <v>-1.5937500000000002</v>
      </c>
      <c r="P315" s="213">
        <f t="shared" si="141"/>
        <v>-7.0124999999999975</v>
      </c>
      <c r="Q315" s="71"/>
      <c r="R315" s="71"/>
    </row>
    <row r="316" spans="2:18" x14ac:dyDescent="0.25">
      <c r="B316" s="139">
        <v>44134</v>
      </c>
      <c r="C316" s="42" t="s">
        <v>21</v>
      </c>
      <c r="D316" s="43"/>
      <c r="E316" s="43"/>
      <c r="F316" s="43"/>
      <c r="G316" s="34"/>
      <c r="H316" s="34"/>
      <c r="I316" s="28"/>
      <c r="J316" s="28"/>
      <c r="K316" s="34"/>
      <c r="L316" s="27"/>
      <c r="M316" s="34">
        <f t="shared" si="127"/>
        <v>0</v>
      </c>
      <c r="N316" s="34"/>
      <c r="O316" s="34"/>
      <c r="P316" s="213"/>
      <c r="Q316" s="72"/>
      <c r="R316" s="72">
        <f t="shared" ref="R316" si="150">Q316/5</f>
        <v>0</v>
      </c>
    </row>
    <row r="317" spans="2:18" ht="15.75" thickBot="1" x14ac:dyDescent="0.3">
      <c r="B317" s="139">
        <v>44135</v>
      </c>
      <c r="C317" s="42" t="s">
        <v>22</v>
      </c>
      <c r="D317" s="43"/>
      <c r="E317" s="43"/>
      <c r="F317" s="43"/>
      <c r="G317" s="34"/>
      <c r="H317" s="34"/>
      <c r="I317" s="28"/>
      <c r="J317" s="28"/>
      <c r="K317" s="34"/>
      <c r="L317" s="27"/>
      <c r="M317" s="34">
        <f t="shared" si="127"/>
        <v>0</v>
      </c>
      <c r="N317" s="34"/>
      <c r="O317" s="34"/>
      <c r="P317" s="215"/>
      <c r="Q317" s="71"/>
      <c r="R317" s="71"/>
    </row>
    <row r="318" spans="2:18" x14ac:dyDescent="0.25">
      <c r="B318" s="139">
        <v>44136</v>
      </c>
      <c r="C318" s="214" t="s">
        <v>6</v>
      </c>
      <c r="D318" s="137"/>
      <c r="E318" s="137"/>
      <c r="F318" s="137"/>
      <c r="G318" s="169"/>
      <c r="H318" s="169" t="b">
        <f t="shared" si="133"/>
        <v>0</v>
      </c>
      <c r="I318" s="171"/>
      <c r="J318" s="171"/>
      <c r="K318" s="169">
        <f t="shared" si="126"/>
        <v>0</v>
      </c>
      <c r="L318" s="172"/>
      <c r="M318" s="169">
        <f t="shared" si="127"/>
        <v>0</v>
      </c>
      <c r="N318" s="169">
        <f t="shared" si="135"/>
        <v>-0.31875000000000003</v>
      </c>
      <c r="O318" s="169">
        <f>N318</f>
        <v>-0.31875000000000003</v>
      </c>
      <c r="P318" s="213">
        <f t="shared" ref="P318:P349" si="151">N318</f>
        <v>-0.31875000000000003</v>
      </c>
      <c r="Q318" s="71"/>
      <c r="R318" s="71"/>
    </row>
    <row r="319" spans="2:18" ht="15.75" thickBot="1" x14ac:dyDescent="0.3">
      <c r="B319" s="139">
        <v>44137</v>
      </c>
      <c r="C319" s="214" t="s">
        <v>7</v>
      </c>
      <c r="D319" s="137"/>
      <c r="E319" s="137"/>
      <c r="F319" s="137"/>
      <c r="G319" s="169">
        <f t="shared" ref="G319:G343" si="152">F319-E319</f>
        <v>0</v>
      </c>
      <c r="H319" s="169" t="b">
        <f t="shared" si="142"/>
        <v>0</v>
      </c>
      <c r="I319" s="171"/>
      <c r="J319" s="171"/>
      <c r="K319" s="169">
        <f t="shared" si="126"/>
        <v>0</v>
      </c>
      <c r="L319" s="172"/>
      <c r="M319" s="169">
        <f t="shared" si="127"/>
        <v>0</v>
      </c>
      <c r="N319" s="169">
        <f t="shared" si="135"/>
        <v>-0.31875000000000003</v>
      </c>
      <c r="O319" s="169">
        <f>O318+N319</f>
        <v>-0.63750000000000007</v>
      </c>
      <c r="P319" s="215">
        <f t="shared" ref="P319:P350" si="153">P318+N319</f>
        <v>-0.63750000000000007</v>
      </c>
      <c r="Q319" s="71"/>
      <c r="R319" s="71"/>
    </row>
    <row r="320" spans="2:18" x14ac:dyDescent="0.25">
      <c r="B320" s="139">
        <v>44138</v>
      </c>
      <c r="C320" s="214" t="s">
        <v>23</v>
      </c>
      <c r="D320" s="137"/>
      <c r="E320" s="137"/>
      <c r="F320" s="137"/>
      <c r="G320" s="169">
        <f t="shared" si="152"/>
        <v>0</v>
      </c>
      <c r="H320" s="169" t="b">
        <f t="shared" si="142"/>
        <v>0</v>
      </c>
      <c r="I320" s="171"/>
      <c r="J320" s="171"/>
      <c r="K320" s="169">
        <f t="shared" si="126"/>
        <v>0</v>
      </c>
      <c r="L320" s="172"/>
      <c r="M320" s="169">
        <f t="shared" si="127"/>
        <v>0</v>
      </c>
      <c r="N320" s="169">
        <f t="shared" si="135"/>
        <v>-0.31875000000000003</v>
      </c>
      <c r="O320" s="169">
        <f>O319+N320</f>
        <v>-0.95625000000000004</v>
      </c>
      <c r="P320" s="213">
        <f t="shared" si="153"/>
        <v>-0.95625000000000004</v>
      </c>
      <c r="Q320" s="71"/>
      <c r="R320" s="71"/>
    </row>
    <row r="321" spans="2:18" ht="15.75" thickBot="1" x14ac:dyDescent="0.3">
      <c r="B321" s="139">
        <v>44139</v>
      </c>
      <c r="C321" s="214" t="s">
        <v>8</v>
      </c>
      <c r="D321" s="137"/>
      <c r="E321" s="137"/>
      <c r="F321" s="137"/>
      <c r="G321" s="169">
        <f t="shared" si="152"/>
        <v>0</v>
      </c>
      <c r="H321" s="169" t="b">
        <f t="shared" si="142"/>
        <v>0</v>
      </c>
      <c r="I321" s="137"/>
      <c r="J321" s="137"/>
      <c r="K321" s="169">
        <f t="shared" si="126"/>
        <v>0</v>
      </c>
      <c r="L321" s="172"/>
      <c r="M321" s="169">
        <f t="shared" si="127"/>
        <v>0</v>
      </c>
      <c r="N321" s="169">
        <f t="shared" si="135"/>
        <v>-0.31875000000000003</v>
      </c>
      <c r="O321" s="169">
        <f>O320+N321</f>
        <v>-1.2750000000000001</v>
      </c>
      <c r="P321" s="215">
        <f t="shared" si="141"/>
        <v>-1.2750000000000001</v>
      </c>
      <c r="Q321" s="71"/>
      <c r="R321" s="71"/>
    </row>
    <row r="322" spans="2:18" ht="15.75" thickBot="1" x14ac:dyDescent="0.3">
      <c r="B322" s="139">
        <v>44140</v>
      </c>
      <c r="C322" s="214" t="s">
        <v>9</v>
      </c>
      <c r="D322" s="137"/>
      <c r="E322" s="137"/>
      <c r="F322" s="137"/>
      <c r="G322" s="169">
        <f t="shared" si="152"/>
        <v>0</v>
      </c>
      <c r="H322" s="169" t="b">
        <f t="shared" si="142"/>
        <v>0</v>
      </c>
      <c r="I322" s="171"/>
      <c r="J322" s="171"/>
      <c r="K322" s="169">
        <f t="shared" si="126"/>
        <v>0</v>
      </c>
      <c r="L322" s="172"/>
      <c r="M322" s="169">
        <f t="shared" si="127"/>
        <v>0</v>
      </c>
      <c r="N322" s="169">
        <f t="shared" si="135"/>
        <v>-0.31875000000000003</v>
      </c>
      <c r="O322" s="169">
        <f>O321+N322</f>
        <v>-1.5937500000000002</v>
      </c>
      <c r="P322" s="213">
        <f t="shared" si="141"/>
        <v>-1.5937500000000002</v>
      </c>
      <c r="Q322" s="71"/>
      <c r="R322" s="71"/>
    </row>
    <row r="323" spans="2:18" x14ac:dyDescent="0.25">
      <c r="B323" s="139">
        <v>44141</v>
      </c>
      <c r="C323" s="42" t="s">
        <v>21</v>
      </c>
      <c r="D323" s="43"/>
      <c r="E323" s="43"/>
      <c r="F323" s="43"/>
      <c r="G323" s="34"/>
      <c r="H323" s="34"/>
      <c r="I323" s="28"/>
      <c r="J323" s="28"/>
      <c r="K323" s="34"/>
      <c r="L323" s="27"/>
      <c r="M323" s="34">
        <f t="shared" si="127"/>
        <v>0</v>
      </c>
      <c r="N323" s="34"/>
      <c r="O323" s="34"/>
      <c r="P323" s="213"/>
      <c r="Q323" s="72"/>
      <c r="R323" s="72">
        <f t="shared" ref="R323" si="154">Q323/5</f>
        <v>0</v>
      </c>
    </row>
    <row r="324" spans="2:18" ht="15.75" thickBot="1" x14ac:dyDescent="0.3">
      <c r="B324" s="139">
        <v>44142</v>
      </c>
      <c r="C324" s="42" t="s">
        <v>22</v>
      </c>
      <c r="D324" s="43"/>
      <c r="E324" s="43"/>
      <c r="F324" s="43"/>
      <c r="G324" s="34"/>
      <c r="H324" s="34"/>
      <c r="I324" s="28"/>
      <c r="J324" s="28"/>
      <c r="K324" s="34"/>
      <c r="L324" s="27"/>
      <c r="M324" s="34">
        <f t="shared" si="127"/>
        <v>0</v>
      </c>
      <c r="N324" s="34"/>
      <c r="O324" s="34"/>
      <c r="P324" s="215"/>
      <c r="Q324" s="71"/>
      <c r="R324" s="71"/>
    </row>
    <row r="325" spans="2:18" x14ac:dyDescent="0.25">
      <c r="B325" s="139">
        <v>44143</v>
      </c>
      <c r="C325" s="214" t="s">
        <v>6</v>
      </c>
      <c r="D325" s="137"/>
      <c r="E325" s="137"/>
      <c r="F325" s="137"/>
      <c r="G325" s="169"/>
      <c r="H325" s="169" t="b">
        <f t="shared" ref="H325" si="155">IF(G325&gt;$I$6,G325)</f>
        <v>0</v>
      </c>
      <c r="I325" s="171"/>
      <c r="J325" s="171"/>
      <c r="K325" s="169">
        <f t="shared" si="126"/>
        <v>0</v>
      </c>
      <c r="L325" s="172"/>
      <c r="M325" s="169">
        <f t="shared" si="127"/>
        <v>0</v>
      </c>
      <c r="N325" s="169">
        <f t="shared" si="135"/>
        <v>-0.31875000000000003</v>
      </c>
      <c r="O325" s="169">
        <f>N325</f>
        <v>-0.31875000000000003</v>
      </c>
      <c r="P325" s="213">
        <f>P322+N325</f>
        <v>-1.9125000000000003</v>
      </c>
      <c r="Q325" s="71"/>
      <c r="R325" s="71"/>
    </row>
    <row r="326" spans="2:18" ht="15.75" thickBot="1" x14ac:dyDescent="0.3">
      <c r="B326" s="139">
        <v>44144</v>
      </c>
      <c r="C326" s="214" t="s">
        <v>7</v>
      </c>
      <c r="D326" s="137"/>
      <c r="E326" s="137"/>
      <c r="F326" s="137"/>
      <c r="G326" s="169">
        <f t="shared" si="152"/>
        <v>0</v>
      </c>
      <c r="H326" s="169" t="b">
        <f t="shared" si="133"/>
        <v>0</v>
      </c>
      <c r="I326" s="171"/>
      <c r="J326" s="171"/>
      <c r="K326" s="169">
        <f t="shared" si="126"/>
        <v>0</v>
      </c>
      <c r="L326" s="172"/>
      <c r="M326" s="169">
        <f t="shared" si="127"/>
        <v>0</v>
      </c>
      <c r="N326" s="169">
        <f t="shared" si="135"/>
        <v>-0.31875000000000003</v>
      </c>
      <c r="O326" s="169">
        <f>O325+N326</f>
        <v>-0.63750000000000007</v>
      </c>
      <c r="P326" s="215">
        <f t="shared" ref="P326:P357" si="156">P325+N326</f>
        <v>-2.2312500000000002</v>
      </c>
      <c r="Q326" s="71"/>
      <c r="R326" s="71"/>
    </row>
    <row r="327" spans="2:18" x14ac:dyDescent="0.25">
      <c r="B327" s="139">
        <v>44145</v>
      </c>
      <c r="C327" s="214" t="s">
        <v>23</v>
      </c>
      <c r="D327" s="137"/>
      <c r="E327" s="137"/>
      <c r="F327" s="137"/>
      <c r="G327" s="169">
        <f t="shared" si="152"/>
        <v>0</v>
      </c>
      <c r="H327" s="169" t="b">
        <f t="shared" si="133"/>
        <v>0</v>
      </c>
      <c r="I327" s="171"/>
      <c r="J327" s="171"/>
      <c r="K327" s="169">
        <f t="shared" si="126"/>
        <v>0</v>
      </c>
      <c r="L327" s="172"/>
      <c r="M327" s="169">
        <f t="shared" si="127"/>
        <v>0</v>
      </c>
      <c r="N327" s="169">
        <f t="shared" si="135"/>
        <v>-0.31875000000000003</v>
      </c>
      <c r="O327" s="169">
        <f>O326+N327</f>
        <v>-0.95625000000000004</v>
      </c>
      <c r="P327" s="213">
        <f t="shared" si="156"/>
        <v>-2.5500000000000003</v>
      </c>
      <c r="Q327" s="71"/>
      <c r="R327" s="71"/>
    </row>
    <row r="328" spans="2:18" ht="15.75" thickBot="1" x14ac:dyDescent="0.3">
      <c r="B328" s="139">
        <v>44146</v>
      </c>
      <c r="C328" s="214" t="s">
        <v>8</v>
      </c>
      <c r="D328" s="137"/>
      <c r="E328" s="137"/>
      <c r="F328" s="137"/>
      <c r="G328" s="169">
        <f t="shared" si="152"/>
        <v>0</v>
      </c>
      <c r="H328" s="169" t="b">
        <f t="shared" si="133"/>
        <v>0</v>
      </c>
      <c r="I328" s="137"/>
      <c r="J328" s="137"/>
      <c r="K328" s="169">
        <f t="shared" si="126"/>
        <v>0</v>
      </c>
      <c r="L328" s="172"/>
      <c r="M328" s="169">
        <f t="shared" si="127"/>
        <v>0</v>
      </c>
      <c r="N328" s="169">
        <f t="shared" si="135"/>
        <v>-0.31875000000000003</v>
      </c>
      <c r="O328" s="169">
        <f>O327+N328</f>
        <v>-1.2750000000000001</v>
      </c>
      <c r="P328" s="215">
        <f t="shared" si="141"/>
        <v>-2.8687500000000004</v>
      </c>
      <c r="Q328" s="71"/>
      <c r="R328" s="71"/>
    </row>
    <row r="329" spans="2:18" ht="15.75" thickBot="1" x14ac:dyDescent="0.3">
      <c r="B329" s="139">
        <v>44147</v>
      </c>
      <c r="C329" s="214" t="s">
        <v>9</v>
      </c>
      <c r="D329" s="137"/>
      <c r="E329" s="137"/>
      <c r="F329" s="137"/>
      <c r="G329" s="169">
        <f t="shared" si="152"/>
        <v>0</v>
      </c>
      <c r="H329" s="169" t="b">
        <f t="shared" si="142"/>
        <v>0</v>
      </c>
      <c r="I329" s="171"/>
      <c r="J329" s="171"/>
      <c r="K329" s="169">
        <f t="shared" si="126"/>
        <v>0</v>
      </c>
      <c r="L329" s="172"/>
      <c r="M329" s="169">
        <f t="shared" si="127"/>
        <v>0</v>
      </c>
      <c r="N329" s="169">
        <f t="shared" si="135"/>
        <v>-0.31875000000000003</v>
      </c>
      <c r="O329" s="169">
        <f>O328+N329</f>
        <v>-1.5937500000000002</v>
      </c>
      <c r="P329" s="213">
        <f t="shared" si="141"/>
        <v>-3.1875000000000004</v>
      </c>
      <c r="Q329" s="71"/>
      <c r="R329" s="71"/>
    </row>
    <row r="330" spans="2:18" x14ac:dyDescent="0.25">
      <c r="B330" s="139">
        <v>44148</v>
      </c>
      <c r="C330" s="42" t="s">
        <v>21</v>
      </c>
      <c r="D330" s="43"/>
      <c r="E330" s="43"/>
      <c r="F330" s="43"/>
      <c r="G330" s="34"/>
      <c r="H330" s="34"/>
      <c r="I330" s="28"/>
      <c r="J330" s="28"/>
      <c r="K330" s="34"/>
      <c r="L330" s="27"/>
      <c r="M330" s="34">
        <f t="shared" si="127"/>
        <v>0</v>
      </c>
      <c r="N330" s="34"/>
      <c r="O330" s="34"/>
      <c r="P330" s="213"/>
      <c r="Q330" s="72"/>
      <c r="R330" s="72">
        <f t="shared" ref="R330" si="157">Q330/5</f>
        <v>0</v>
      </c>
    </row>
    <row r="331" spans="2:18" ht="15.75" thickBot="1" x14ac:dyDescent="0.3">
      <c r="B331" s="139">
        <v>44149</v>
      </c>
      <c r="C331" s="42" t="s">
        <v>22</v>
      </c>
      <c r="D331" s="43"/>
      <c r="E331" s="43"/>
      <c r="F331" s="43"/>
      <c r="G331" s="34"/>
      <c r="H331" s="34"/>
      <c r="I331" s="28"/>
      <c r="J331" s="28"/>
      <c r="K331" s="34"/>
      <c r="L331" s="27"/>
      <c r="M331" s="34">
        <f t="shared" si="127"/>
        <v>0</v>
      </c>
      <c r="N331" s="34"/>
      <c r="O331" s="34"/>
      <c r="P331" s="215"/>
      <c r="Q331" s="71"/>
      <c r="R331" s="71"/>
    </row>
    <row r="332" spans="2:18" x14ac:dyDescent="0.25">
      <c r="B332" s="139">
        <v>44150</v>
      </c>
      <c r="C332" s="214" t="s">
        <v>6</v>
      </c>
      <c r="D332" s="137"/>
      <c r="E332" s="137"/>
      <c r="F332" s="137"/>
      <c r="G332" s="169"/>
      <c r="H332" s="169" t="b">
        <f t="shared" si="142"/>
        <v>0</v>
      </c>
      <c r="I332" s="171"/>
      <c r="J332" s="171"/>
      <c r="K332" s="169">
        <f t="shared" si="126"/>
        <v>0</v>
      </c>
      <c r="L332" s="172"/>
      <c r="M332" s="169">
        <f t="shared" si="127"/>
        <v>0</v>
      </c>
      <c r="N332" s="169">
        <f t="shared" si="135"/>
        <v>-0.31875000000000003</v>
      </c>
      <c r="O332" s="169">
        <f>N332</f>
        <v>-0.31875000000000003</v>
      </c>
      <c r="P332" s="213">
        <f>P329+N332</f>
        <v>-3.5062500000000005</v>
      </c>
      <c r="Q332" s="71"/>
      <c r="R332" s="71"/>
    </row>
    <row r="333" spans="2:18" ht="15.75" thickBot="1" x14ac:dyDescent="0.3">
      <c r="B333" s="139">
        <v>44151</v>
      </c>
      <c r="C333" s="214" t="s">
        <v>7</v>
      </c>
      <c r="D333" s="137"/>
      <c r="E333" s="137"/>
      <c r="F333" s="137"/>
      <c r="G333" s="169">
        <f t="shared" si="152"/>
        <v>0</v>
      </c>
      <c r="H333" s="169" t="b">
        <f t="shared" ref="H333:H335" si="158">IF(G333&gt;$I$6,G333)</f>
        <v>0</v>
      </c>
      <c r="I333" s="171"/>
      <c r="J333" s="171"/>
      <c r="K333" s="169">
        <f t="shared" ref="K333:K377" si="159">J333-I333</f>
        <v>0</v>
      </c>
      <c r="L333" s="172"/>
      <c r="M333" s="169">
        <f t="shared" ref="M333:M377" si="160">(L333-D333)-H333-K333</f>
        <v>0</v>
      </c>
      <c r="N333" s="169">
        <f t="shared" si="135"/>
        <v>-0.31875000000000003</v>
      </c>
      <c r="O333" s="169">
        <f>O332+N333</f>
        <v>-0.63750000000000007</v>
      </c>
      <c r="P333" s="215">
        <f t="shared" ref="P333:P377" si="161">P332+N333</f>
        <v>-3.8250000000000006</v>
      </c>
      <c r="Q333" s="71"/>
      <c r="R333" s="71"/>
    </row>
    <row r="334" spans="2:18" x14ac:dyDescent="0.25">
      <c r="B334" s="139">
        <v>44152</v>
      </c>
      <c r="C334" s="214" t="s">
        <v>23</v>
      </c>
      <c r="D334" s="137"/>
      <c r="E334" s="137"/>
      <c r="F334" s="137"/>
      <c r="G334" s="169">
        <f t="shared" si="152"/>
        <v>0</v>
      </c>
      <c r="H334" s="169" t="b">
        <f t="shared" si="158"/>
        <v>0</v>
      </c>
      <c r="I334" s="171"/>
      <c r="J334" s="171"/>
      <c r="K334" s="169">
        <f t="shared" si="159"/>
        <v>0</v>
      </c>
      <c r="L334" s="172"/>
      <c r="M334" s="169">
        <f t="shared" si="160"/>
        <v>0</v>
      </c>
      <c r="N334" s="169">
        <f t="shared" si="135"/>
        <v>-0.31875000000000003</v>
      </c>
      <c r="O334" s="169">
        <f>O333+N334</f>
        <v>-0.95625000000000004</v>
      </c>
      <c r="P334" s="213">
        <f t="shared" si="161"/>
        <v>-4.1437500000000007</v>
      </c>
      <c r="Q334" s="71"/>
      <c r="R334" s="71"/>
    </row>
    <row r="335" spans="2:18" ht="15.75" thickBot="1" x14ac:dyDescent="0.3">
      <c r="B335" s="139">
        <v>44153</v>
      </c>
      <c r="C335" s="214" t="s">
        <v>8</v>
      </c>
      <c r="D335" s="137"/>
      <c r="E335" s="137"/>
      <c r="F335" s="137"/>
      <c r="G335" s="169">
        <f t="shared" si="152"/>
        <v>0</v>
      </c>
      <c r="H335" s="169" t="b">
        <f t="shared" si="158"/>
        <v>0</v>
      </c>
      <c r="I335" s="137"/>
      <c r="J335" s="137"/>
      <c r="K335" s="169">
        <f t="shared" si="159"/>
        <v>0</v>
      </c>
      <c r="L335" s="172"/>
      <c r="M335" s="169">
        <f t="shared" si="160"/>
        <v>0</v>
      </c>
      <c r="N335" s="169">
        <f t="shared" si="135"/>
        <v>-0.31875000000000003</v>
      </c>
      <c r="O335" s="169">
        <f>O334+N335</f>
        <v>-1.2750000000000001</v>
      </c>
      <c r="P335" s="215">
        <f t="shared" si="141"/>
        <v>-4.4625000000000004</v>
      </c>
      <c r="Q335" s="71"/>
      <c r="R335" s="71"/>
    </row>
    <row r="336" spans="2:18" ht="15.75" thickBot="1" x14ac:dyDescent="0.3">
      <c r="B336" s="139">
        <v>44154</v>
      </c>
      <c r="C336" s="214" t="s">
        <v>9</v>
      </c>
      <c r="D336" s="137"/>
      <c r="E336" s="137"/>
      <c r="F336" s="137"/>
      <c r="G336" s="169">
        <f t="shared" si="152"/>
        <v>0</v>
      </c>
      <c r="H336" s="169" t="b">
        <f t="shared" si="133"/>
        <v>0</v>
      </c>
      <c r="I336" s="171"/>
      <c r="J336" s="171"/>
      <c r="K336" s="169">
        <f t="shared" si="159"/>
        <v>0</v>
      </c>
      <c r="L336" s="172"/>
      <c r="M336" s="169">
        <f t="shared" si="160"/>
        <v>0</v>
      </c>
      <c r="N336" s="169">
        <f t="shared" si="135"/>
        <v>-0.31875000000000003</v>
      </c>
      <c r="O336" s="169">
        <f>O335+N336</f>
        <v>-1.5937500000000002</v>
      </c>
      <c r="P336" s="213">
        <f t="shared" si="141"/>
        <v>-4.78125</v>
      </c>
      <c r="Q336" s="71"/>
      <c r="R336" s="71"/>
    </row>
    <row r="337" spans="2:19" x14ac:dyDescent="0.25">
      <c r="B337" s="139">
        <v>44155</v>
      </c>
      <c r="C337" s="42" t="s">
        <v>21</v>
      </c>
      <c r="D337" s="43"/>
      <c r="E337" s="43"/>
      <c r="F337" s="43"/>
      <c r="G337" s="34"/>
      <c r="H337" s="34"/>
      <c r="I337" s="28"/>
      <c r="J337" s="28"/>
      <c r="K337" s="34"/>
      <c r="L337" s="27"/>
      <c r="M337" s="34">
        <f t="shared" si="160"/>
        <v>0</v>
      </c>
      <c r="N337" s="34"/>
      <c r="O337" s="34"/>
      <c r="P337" s="213"/>
      <c r="Q337" s="72"/>
      <c r="R337" s="72">
        <f t="shared" ref="R337" si="162">Q337/5</f>
        <v>0</v>
      </c>
    </row>
    <row r="338" spans="2:19" ht="15.75" thickBot="1" x14ac:dyDescent="0.3">
      <c r="B338" s="139">
        <v>44156</v>
      </c>
      <c r="C338" s="42" t="s">
        <v>22</v>
      </c>
      <c r="D338" s="43"/>
      <c r="E338" s="43"/>
      <c r="F338" s="43"/>
      <c r="G338" s="34"/>
      <c r="H338" s="34"/>
      <c r="I338" s="28"/>
      <c r="J338" s="28"/>
      <c r="K338" s="34"/>
      <c r="L338" s="27"/>
      <c r="M338" s="34">
        <f t="shared" si="160"/>
        <v>0</v>
      </c>
      <c r="N338" s="34"/>
      <c r="O338" s="34"/>
      <c r="P338" s="215"/>
      <c r="Q338" s="71"/>
      <c r="R338" s="71"/>
    </row>
    <row r="339" spans="2:19" x14ac:dyDescent="0.25">
      <c r="B339" s="139">
        <v>44157</v>
      </c>
      <c r="C339" s="214" t="s">
        <v>6</v>
      </c>
      <c r="D339" s="137"/>
      <c r="E339" s="137"/>
      <c r="F339" s="137"/>
      <c r="G339" s="169"/>
      <c r="H339" s="169" t="b">
        <f t="shared" si="142"/>
        <v>0</v>
      </c>
      <c r="I339" s="171"/>
      <c r="J339" s="171"/>
      <c r="K339" s="169">
        <f t="shared" si="159"/>
        <v>0</v>
      </c>
      <c r="L339" s="172"/>
      <c r="M339" s="169">
        <f t="shared" si="160"/>
        <v>0</v>
      </c>
      <c r="N339" s="169">
        <f t="shared" si="135"/>
        <v>-0.31875000000000003</v>
      </c>
      <c r="O339" s="169">
        <f>N339</f>
        <v>-0.31875000000000003</v>
      </c>
      <c r="P339" s="213">
        <f>P336+N339</f>
        <v>-5.0999999999999996</v>
      </c>
      <c r="Q339" s="71"/>
      <c r="R339" s="71"/>
    </row>
    <row r="340" spans="2:19" ht="15.75" thickBot="1" x14ac:dyDescent="0.3">
      <c r="B340" s="139">
        <v>44158</v>
      </c>
      <c r="C340" s="214" t="s">
        <v>7</v>
      </c>
      <c r="D340" s="137"/>
      <c r="E340" s="137"/>
      <c r="F340" s="137"/>
      <c r="G340" s="169">
        <f t="shared" si="152"/>
        <v>0</v>
      </c>
      <c r="H340" s="169" t="b">
        <f t="shared" si="142"/>
        <v>0</v>
      </c>
      <c r="I340" s="171"/>
      <c r="J340" s="171"/>
      <c r="K340" s="169">
        <f t="shared" si="159"/>
        <v>0</v>
      </c>
      <c r="L340" s="172"/>
      <c r="M340" s="169">
        <f t="shared" si="160"/>
        <v>0</v>
      </c>
      <c r="N340" s="169">
        <f t="shared" si="135"/>
        <v>-0.31875000000000003</v>
      </c>
      <c r="O340" s="169">
        <f>O339+N340</f>
        <v>-0.63750000000000007</v>
      </c>
      <c r="P340" s="215">
        <f t="shared" ref="P340:P377" si="163">P339+N340</f>
        <v>-5.4187499999999993</v>
      </c>
      <c r="Q340" s="71"/>
      <c r="R340" s="71"/>
    </row>
    <row r="341" spans="2:19" x14ac:dyDescent="0.25">
      <c r="B341" s="139">
        <v>44159</v>
      </c>
      <c r="C341" s="214" t="s">
        <v>23</v>
      </c>
      <c r="D341" s="137"/>
      <c r="E341" s="137"/>
      <c r="F341" s="137"/>
      <c r="G341" s="169">
        <f t="shared" si="152"/>
        <v>0</v>
      </c>
      <c r="H341" s="169" t="b">
        <f t="shared" si="142"/>
        <v>0</v>
      </c>
      <c r="I341" s="171"/>
      <c r="J341" s="171"/>
      <c r="K341" s="169">
        <f t="shared" si="159"/>
        <v>0</v>
      </c>
      <c r="L341" s="172"/>
      <c r="M341" s="169">
        <f t="shared" si="160"/>
        <v>0</v>
      </c>
      <c r="N341" s="169">
        <f t="shared" si="135"/>
        <v>-0.31875000000000003</v>
      </c>
      <c r="O341" s="169">
        <f>O340+N341</f>
        <v>-0.95625000000000004</v>
      </c>
      <c r="P341" s="213">
        <f t="shared" si="163"/>
        <v>-5.7374999999999989</v>
      </c>
      <c r="Q341" s="71"/>
      <c r="R341" s="71"/>
    </row>
    <row r="342" spans="2:19" ht="15.75" thickBot="1" x14ac:dyDescent="0.3">
      <c r="B342" s="139">
        <v>44160</v>
      </c>
      <c r="C342" s="214" t="s">
        <v>8</v>
      </c>
      <c r="D342" s="137"/>
      <c r="E342" s="137"/>
      <c r="F342" s="137"/>
      <c r="G342" s="169">
        <f t="shared" si="152"/>
        <v>0</v>
      </c>
      <c r="H342" s="169" t="b">
        <f t="shared" si="142"/>
        <v>0</v>
      </c>
      <c r="I342" s="137"/>
      <c r="J342" s="137"/>
      <c r="K342" s="169">
        <f t="shared" si="159"/>
        <v>0</v>
      </c>
      <c r="L342" s="172"/>
      <c r="M342" s="169">
        <f t="shared" si="160"/>
        <v>0</v>
      </c>
      <c r="N342" s="169">
        <f t="shared" si="135"/>
        <v>-0.31875000000000003</v>
      </c>
      <c r="O342" s="169">
        <f>O341+N342</f>
        <v>-1.2750000000000001</v>
      </c>
      <c r="P342" s="215">
        <f t="shared" si="141"/>
        <v>-6.0562499999999986</v>
      </c>
      <c r="Q342" s="71"/>
      <c r="R342" s="71"/>
    </row>
    <row r="343" spans="2:19" ht="15.75" thickBot="1" x14ac:dyDescent="0.3">
      <c r="B343" s="139">
        <v>44161</v>
      </c>
      <c r="C343" s="214" t="s">
        <v>9</v>
      </c>
      <c r="D343" s="137"/>
      <c r="E343" s="137"/>
      <c r="F343" s="137"/>
      <c r="G343" s="169">
        <f t="shared" si="152"/>
        <v>0</v>
      </c>
      <c r="H343" s="169" t="b">
        <f t="shared" ref="H343" si="164">IF(G343&gt;$I$6,G343)</f>
        <v>0</v>
      </c>
      <c r="I343" s="171"/>
      <c r="J343" s="171"/>
      <c r="K343" s="169">
        <f t="shared" si="159"/>
        <v>0</v>
      </c>
      <c r="L343" s="172"/>
      <c r="M343" s="169">
        <f t="shared" si="160"/>
        <v>0</v>
      </c>
      <c r="N343" s="169">
        <f t="shared" si="135"/>
        <v>-0.31875000000000003</v>
      </c>
      <c r="O343" s="169">
        <f>O342+N343</f>
        <v>-1.5937500000000002</v>
      </c>
      <c r="P343" s="213">
        <f t="shared" si="141"/>
        <v>-6.3749999999999982</v>
      </c>
      <c r="Q343" s="71"/>
      <c r="R343" s="71"/>
    </row>
    <row r="344" spans="2:19" x14ac:dyDescent="0.25">
      <c r="B344" s="139">
        <v>44162</v>
      </c>
      <c r="C344" s="42" t="s">
        <v>21</v>
      </c>
      <c r="D344" s="43"/>
      <c r="E344" s="43"/>
      <c r="F344" s="43"/>
      <c r="G344" s="34"/>
      <c r="H344" s="34"/>
      <c r="I344" s="28"/>
      <c r="J344" s="28"/>
      <c r="K344" s="34"/>
      <c r="L344" s="27"/>
      <c r="M344" s="34">
        <f t="shared" si="160"/>
        <v>0</v>
      </c>
      <c r="N344" s="34"/>
      <c r="O344" s="34"/>
      <c r="P344" s="213"/>
      <c r="Q344" s="72"/>
      <c r="R344" s="72">
        <f t="shared" ref="R344" si="165">Q344/5</f>
        <v>0</v>
      </c>
    </row>
    <row r="345" spans="2:19" ht="15.75" thickBot="1" x14ac:dyDescent="0.3">
      <c r="B345" s="139">
        <v>44163</v>
      </c>
      <c r="C345" s="42" t="s">
        <v>22</v>
      </c>
      <c r="D345" s="43"/>
      <c r="E345" s="43"/>
      <c r="F345" s="43"/>
      <c r="G345" s="34"/>
      <c r="H345" s="34"/>
      <c r="I345" s="28"/>
      <c r="J345" s="28"/>
      <c r="K345" s="34"/>
      <c r="L345" s="27"/>
      <c r="M345" s="34">
        <f t="shared" si="160"/>
        <v>0</v>
      </c>
      <c r="N345" s="34"/>
      <c r="O345" s="34"/>
      <c r="P345" s="215"/>
      <c r="Q345" s="71"/>
      <c r="R345" s="71"/>
    </row>
    <row r="346" spans="2:19" x14ac:dyDescent="0.25">
      <c r="B346" s="139">
        <v>44164</v>
      </c>
      <c r="C346" s="214" t="s">
        <v>6</v>
      </c>
      <c r="D346" s="137"/>
      <c r="E346" s="137"/>
      <c r="F346" s="137"/>
      <c r="G346" s="169"/>
      <c r="H346" s="169" t="b">
        <f t="shared" si="133"/>
        <v>0</v>
      </c>
      <c r="I346" s="171"/>
      <c r="J346" s="171"/>
      <c r="K346" s="169">
        <f t="shared" si="159"/>
        <v>0</v>
      </c>
      <c r="L346" s="172"/>
      <c r="M346" s="169">
        <f t="shared" si="160"/>
        <v>0</v>
      </c>
      <c r="N346" s="169">
        <f t="shared" si="135"/>
        <v>-0.31875000000000003</v>
      </c>
      <c r="O346" s="169">
        <f>N346</f>
        <v>-0.31875000000000003</v>
      </c>
      <c r="P346" s="213">
        <f>P343+N346</f>
        <v>-6.6937499999999979</v>
      </c>
      <c r="Q346" s="71"/>
      <c r="R346" s="71"/>
    </row>
    <row r="347" spans="2:19" ht="15.75" thickBot="1" x14ac:dyDescent="0.3">
      <c r="B347" s="139">
        <v>44165</v>
      </c>
      <c r="C347" s="214" t="s">
        <v>7</v>
      </c>
      <c r="D347" s="137"/>
      <c r="E347" s="137"/>
      <c r="F347" s="137"/>
      <c r="G347" s="169">
        <f t="shared" ref="G347:G377" si="166">F347-E347</f>
        <v>0</v>
      </c>
      <c r="H347" s="169" t="b">
        <f t="shared" ref="H347:H377" si="167">IF(G347&gt;$I$6,G347)</f>
        <v>0</v>
      </c>
      <c r="I347" s="171"/>
      <c r="J347" s="171"/>
      <c r="K347" s="169">
        <f t="shared" si="159"/>
        <v>0</v>
      </c>
      <c r="L347" s="172"/>
      <c r="M347" s="169">
        <f t="shared" si="160"/>
        <v>0</v>
      </c>
      <c r="N347" s="169">
        <f t="shared" si="135"/>
        <v>-0.31875000000000003</v>
      </c>
      <c r="O347" s="169">
        <f>O346+N347</f>
        <v>-0.63750000000000007</v>
      </c>
      <c r="P347" s="215">
        <f>N347</f>
        <v>-0.31875000000000003</v>
      </c>
      <c r="Q347" s="71"/>
      <c r="R347" s="71"/>
      <c r="S347" s="72"/>
    </row>
    <row r="348" spans="2:19" x14ac:dyDescent="0.25">
      <c r="B348" s="139">
        <v>44166</v>
      </c>
      <c r="C348" s="214" t="s">
        <v>23</v>
      </c>
      <c r="D348" s="137"/>
      <c r="E348" s="137"/>
      <c r="F348" s="137"/>
      <c r="G348" s="169">
        <f t="shared" si="166"/>
        <v>0</v>
      </c>
      <c r="H348" s="169" t="b">
        <f t="shared" si="167"/>
        <v>0</v>
      </c>
      <c r="I348" s="171"/>
      <c r="J348" s="171"/>
      <c r="K348" s="169">
        <f t="shared" si="159"/>
        <v>0</v>
      </c>
      <c r="L348" s="172"/>
      <c r="M348" s="169">
        <f t="shared" si="160"/>
        <v>0</v>
      </c>
      <c r="N348" s="169">
        <f t="shared" si="135"/>
        <v>-0.31875000000000003</v>
      </c>
      <c r="O348" s="169">
        <f>O347+N348</f>
        <v>-0.95625000000000004</v>
      </c>
      <c r="P348" s="213">
        <f t="shared" ref="P348" si="168">P347+N348</f>
        <v>-0.63750000000000007</v>
      </c>
      <c r="Q348" s="71"/>
      <c r="R348" s="71"/>
      <c r="S348" s="72"/>
    </row>
    <row r="349" spans="2:19" ht="15.75" thickBot="1" x14ac:dyDescent="0.3">
      <c r="B349" s="139">
        <v>44167</v>
      </c>
      <c r="C349" s="214" t="s">
        <v>8</v>
      </c>
      <c r="D349" s="137"/>
      <c r="E349" s="137"/>
      <c r="F349" s="137"/>
      <c r="G349" s="169">
        <f t="shared" si="166"/>
        <v>0</v>
      </c>
      <c r="H349" s="169" t="b">
        <f t="shared" si="142"/>
        <v>0</v>
      </c>
      <c r="I349" s="137"/>
      <c r="J349" s="137"/>
      <c r="K349" s="169">
        <f t="shared" si="159"/>
        <v>0</v>
      </c>
      <c r="L349" s="172"/>
      <c r="M349" s="169">
        <f t="shared" si="160"/>
        <v>0</v>
      </c>
      <c r="N349" s="169">
        <f t="shared" ref="N349:N377" si="169">M349-$D$6</f>
        <v>-0.31875000000000003</v>
      </c>
      <c r="O349" s="169">
        <f>O348+N349</f>
        <v>-1.2750000000000001</v>
      </c>
      <c r="P349" s="215">
        <f t="shared" si="141"/>
        <v>-0.95625000000000004</v>
      </c>
      <c r="Q349" s="71"/>
      <c r="R349" s="71"/>
      <c r="S349" s="72"/>
    </row>
    <row r="350" spans="2:19" ht="15.75" thickBot="1" x14ac:dyDescent="0.3">
      <c r="B350" s="139">
        <v>44168</v>
      </c>
      <c r="C350" s="214" t="s">
        <v>9</v>
      </c>
      <c r="D350" s="137"/>
      <c r="E350" s="137"/>
      <c r="F350" s="137"/>
      <c r="G350" s="169">
        <f t="shared" si="166"/>
        <v>0</v>
      </c>
      <c r="H350" s="169" t="b">
        <f t="shared" si="142"/>
        <v>0</v>
      </c>
      <c r="I350" s="171"/>
      <c r="J350" s="171"/>
      <c r="K350" s="169">
        <f t="shared" si="159"/>
        <v>0</v>
      </c>
      <c r="L350" s="172"/>
      <c r="M350" s="169">
        <f t="shared" si="160"/>
        <v>0</v>
      </c>
      <c r="N350" s="169">
        <f t="shared" si="169"/>
        <v>-0.31875000000000003</v>
      </c>
      <c r="O350" s="169">
        <f>O349+N350</f>
        <v>-1.5937500000000002</v>
      </c>
      <c r="P350" s="213">
        <f t="shared" si="141"/>
        <v>-1.2750000000000001</v>
      </c>
      <c r="Q350" s="71"/>
      <c r="R350" s="71"/>
      <c r="S350" s="72"/>
    </row>
    <row r="351" spans="2:19" x14ac:dyDescent="0.25">
      <c r="B351" s="139">
        <v>44169</v>
      </c>
      <c r="C351" s="42" t="s">
        <v>21</v>
      </c>
      <c r="D351" s="43"/>
      <c r="E351" s="43"/>
      <c r="F351" s="43"/>
      <c r="G351" s="34"/>
      <c r="H351" s="34"/>
      <c r="I351" s="28"/>
      <c r="J351" s="28"/>
      <c r="K351" s="34"/>
      <c r="L351" s="27"/>
      <c r="M351" s="34">
        <f t="shared" si="160"/>
        <v>0</v>
      </c>
      <c r="N351" s="34"/>
      <c r="O351" s="34"/>
      <c r="P351" s="213"/>
      <c r="Q351" s="72"/>
      <c r="R351" s="72">
        <f t="shared" ref="R351" si="170">Q351/5</f>
        <v>0</v>
      </c>
      <c r="S351" s="72"/>
    </row>
    <row r="352" spans="2:19" ht="15.75" thickBot="1" x14ac:dyDescent="0.3">
      <c r="B352" s="139">
        <v>44170</v>
      </c>
      <c r="C352" s="42" t="s">
        <v>22</v>
      </c>
      <c r="D352" s="43"/>
      <c r="E352" s="43"/>
      <c r="F352" s="43"/>
      <c r="G352" s="34"/>
      <c r="H352" s="34"/>
      <c r="I352" s="28"/>
      <c r="J352" s="28"/>
      <c r="K352" s="34"/>
      <c r="L352" s="27"/>
      <c r="M352" s="34">
        <f t="shared" si="160"/>
        <v>0</v>
      </c>
      <c r="N352" s="34"/>
      <c r="O352" s="34"/>
      <c r="P352" s="215"/>
      <c r="Q352" s="71"/>
      <c r="R352" s="71"/>
      <c r="S352" s="72"/>
    </row>
    <row r="353" spans="2:19" x14ac:dyDescent="0.25">
      <c r="B353" s="139">
        <v>44171</v>
      </c>
      <c r="C353" s="214" t="s">
        <v>6</v>
      </c>
      <c r="D353" s="137"/>
      <c r="E353" s="137"/>
      <c r="F353" s="137"/>
      <c r="G353" s="169"/>
      <c r="H353" s="169" t="b">
        <f t="shared" ref="H353:H355" si="171">IF(G353&gt;$I$6,G353)</f>
        <v>0</v>
      </c>
      <c r="I353" s="171"/>
      <c r="J353" s="171"/>
      <c r="K353" s="169">
        <f t="shared" si="159"/>
        <v>0</v>
      </c>
      <c r="L353" s="172"/>
      <c r="M353" s="169">
        <f t="shared" si="160"/>
        <v>0</v>
      </c>
      <c r="N353" s="169">
        <f t="shared" si="169"/>
        <v>-0.31875000000000003</v>
      </c>
      <c r="O353" s="169">
        <f>N353</f>
        <v>-0.31875000000000003</v>
      </c>
      <c r="P353" s="213">
        <f>P350+N353</f>
        <v>-1.5937500000000002</v>
      </c>
      <c r="Q353" s="71"/>
      <c r="R353" s="71"/>
      <c r="S353" s="72"/>
    </row>
    <row r="354" spans="2:19" ht="15.75" thickBot="1" x14ac:dyDescent="0.3">
      <c r="B354" s="139">
        <v>44172</v>
      </c>
      <c r="C354" s="214" t="s">
        <v>7</v>
      </c>
      <c r="D354" s="137"/>
      <c r="E354" s="137"/>
      <c r="F354" s="137"/>
      <c r="G354" s="169">
        <f t="shared" si="166"/>
        <v>0</v>
      </c>
      <c r="H354" s="169" t="b">
        <f t="shared" si="171"/>
        <v>0</v>
      </c>
      <c r="I354" s="171"/>
      <c r="J354" s="171"/>
      <c r="K354" s="169">
        <f t="shared" si="159"/>
        <v>0</v>
      </c>
      <c r="L354" s="172"/>
      <c r="M354" s="169">
        <f t="shared" si="160"/>
        <v>0</v>
      </c>
      <c r="N354" s="169">
        <f t="shared" si="169"/>
        <v>-0.31875000000000003</v>
      </c>
      <c r="O354" s="169">
        <f>O353+N354</f>
        <v>-0.63750000000000007</v>
      </c>
      <c r="P354" s="215">
        <f t="shared" ref="P354:P377" si="172">P353+N354</f>
        <v>-1.9125000000000003</v>
      </c>
      <c r="Q354" s="71"/>
      <c r="R354" s="71"/>
      <c r="S354" s="72"/>
    </row>
    <row r="355" spans="2:19" x14ac:dyDescent="0.25">
      <c r="B355" s="139">
        <v>44173</v>
      </c>
      <c r="C355" s="214" t="s">
        <v>23</v>
      </c>
      <c r="D355" s="137"/>
      <c r="E355" s="137"/>
      <c r="F355" s="137"/>
      <c r="G355" s="169">
        <f t="shared" si="166"/>
        <v>0</v>
      </c>
      <c r="H355" s="169" t="b">
        <f t="shared" si="171"/>
        <v>0</v>
      </c>
      <c r="I355" s="171"/>
      <c r="J355" s="171"/>
      <c r="K355" s="169">
        <f t="shared" si="159"/>
        <v>0</v>
      </c>
      <c r="L355" s="172"/>
      <c r="M355" s="169">
        <f t="shared" si="160"/>
        <v>0</v>
      </c>
      <c r="N355" s="169">
        <f t="shared" si="169"/>
        <v>-0.31875000000000003</v>
      </c>
      <c r="O355" s="169">
        <f>O354+N355</f>
        <v>-0.95625000000000004</v>
      </c>
      <c r="P355" s="213">
        <f t="shared" si="172"/>
        <v>-2.2312500000000002</v>
      </c>
      <c r="Q355" s="71"/>
      <c r="R355" s="71"/>
      <c r="S355" s="72"/>
    </row>
    <row r="356" spans="2:19" ht="15.75" thickBot="1" x14ac:dyDescent="0.3">
      <c r="B356" s="139">
        <v>44174</v>
      </c>
      <c r="C356" s="214" t="s">
        <v>8</v>
      </c>
      <c r="D356" s="137"/>
      <c r="E356" s="137"/>
      <c r="F356" s="137"/>
      <c r="G356" s="169">
        <f t="shared" si="166"/>
        <v>0</v>
      </c>
      <c r="H356" s="169" t="b">
        <f t="shared" si="167"/>
        <v>0</v>
      </c>
      <c r="I356" s="137"/>
      <c r="J356" s="137"/>
      <c r="K356" s="169">
        <f t="shared" si="159"/>
        <v>0</v>
      </c>
      <c r="L356" s="172"/>
      <c r="M356" s="169">
        <f t="shared" si="160"/>
        <v>0</v>
      </c>
      <c r="N356" s="169">
        <f t="shared" si="169"/>
        <v>-0.31875000000000003</v>
      </c>
      <c r="O356" s="169">
        <f>O355+N356</f>
        <v>-1.2750000000000001</v>
      </c>
      <c r="P356" s="215">
        <f t="shared" si="141"/>
        <v>-2.5500000000000003</v>
      </c>
      <c r="Q356" s="71"/>
      <c r="R356" s="71"/>
      <c r="S356" s="72"/>
    </row>
    <row r="357" spans="2:19" ht="15.75" thickBot="1" x14ac:dyDescent="0.3">
      <c r="B357" s="139">
        <v>44175</v>
      </c>
      <c r="C357" s="214" t="s">
        <v>9</v>
      </c>
      <c r="D357" s="137"/>
      <c r="E357" s="137"/>
      <c r="F357" s="137"/>
      <c r="G357" s="169">
        <f t="shared" si="166"/>
        <v>0</v>
      </c>
      <c r="H357" s="169" t="b">
        <f t="shared" si="167"/>
        <v>0</v>
      </c>
      <c r="I357" s="171"/>
      <c r="J357" s="171"/>
      <c r="K357" s="169">
        <f t="shared" si="159"/>
        <v>0</v>
      </c>
      <c r="L357" s="172"/>
      <c r="M357" s="169">
        <f t="shared" si="160"/>
        <v>0</v>
      </c>
      <c r="N357" s="169">
        <f t="shared" si="169"/>
        <v>-0.31875000000000003</v>
      </c>
      <c r="O357" s="169">
        <f>O356+N357</f>
        <v>-1.5937500000000002</v>
      </c>
      <c r="P357" s="213">
        <f t="shared" si="141"/>
        <v>-2.8687500000000004</v>
      </c>
      <c r="Q357" s="71"/>
      <c r="R357" s="71"/>
      <c r="S357" s="72"/>
    </row>
    <row r="358" spans="2:19" x14ac:dyDescent="0.25">
      <c r="B358" s="139">
        <v>44176</v>
      </c>
      <c r="C358" s="42" t="s">
        <v>21</v>
      </c>
      <c r="D358" s="43"/>
      <c r="E358" s="43"/>
      <c r="F358" s="43"/>
      <c r="G358" s="34"/>
      <c r="H358" s="34"/>
      <c r="I358" s="28"/>
      <c r="J358" s="28"/>
      <c r="K358" s="34"/>
      <c r="L358" s="27"/>
      <c r="M358" s="34">
        <f t="shared" si="160"/>
        <v>0</v>
      </c>
      <c r="N358" s="34"/>
      <c r="O358" s="34"/>
      <c r="P358" s="213"/>
      <c r="Q358" s="72"/>
      <c r="R358" s="72">
        <f t="shared" ref="R358" si="173">Q358/5</f>
        <v>0</v>
      </c>
      <c r="S358" s="72"/>
    </row>
    <row r="359" spans="2:19" ht="15.75" thickBot="1" x14ac:dyDescent="0.3">
      <c r="B359" s="139">
        <v>44177</v>
      </c>
      <c r="C359" s="42" t="s">
        <v>22</v>
      </c>
      <c r="D359" s="43"/>
      <c r="E359" s="43"/>
      <c r="F359" s="43"/>
      <c r="G359" s="34"/>
      <c r="H359" s="34"/>
      <c r="I359" s="28"/>
      <c r="J359" s="28"/>
      <c r="K359" s="34"/>
      <c r="L359" s="27"/>
      <c r="M359" s="34">
        <f t="shared" si="160"/>
        <v>0</v>
      </c>
      <c r="N359" s="34"/>
      <c r="O359" s="34"/>
      <c r="P359" s="215"/>
      <c r="Q359" s="71"/>
      <c r="R359" s="71"/>
      <c r="S359" s="72"/>
    </row>
    <row r="360" spans="2:19" x14ac:dyDescent="0.25">
      <c r="B360" s="139">
        <v>44178</v>
      </c>
      <c r="C360" s="214" t="s">
        <v>6</v>
      </c>
      <c r="D360" s="137"/>
      <c r="E360" s="137"/>
      <c r="F360" s="137"/>
      <c r="G360" s="169"/>
      <c r="H360" s="169" t="b">
        <f t="shared" si="142"/>
        <v>0</v>
      </c>
      <c r="I360" s="171"/>
      <c r="J360" s="171"/>
      <c r="K360" s="169">
        <f t="shared" si="159"/>
        <v>0</v>
      </c>
      <c r="L360" s="172"/>
      <c r="M360" s="169">
        <f t="shared" si="160"/>
        <v>0</v>
      </c>
      <c r="N360" s="169">
        <f t="shared" si="169"/>
        <v>-0.31875000000000003</v>
      </c>
      <c r="O360" s="169">
        <f>N360</f>
        <v>-0.31875000000000003</v>
      </c>
      <c r="P360" s="213">
        <f>P357+N360</f>
        <v>-3.1875000000000004</v>
      </c>
      <c r="Q360" s="71"/>
      <c r="R360" s="71"/>
      <c r="S360" s="72"/>
    </row>
    <row r="361" spans="2:19" ht="15.75" thickBot="1" x14ac:dyDescent="0.3">
      <c r="B361" s="139">
        <v>44179</v>
      </c>
      <c r="C361" s="214" t="s">
        <v>7</v>
      </c>
      <c r="D361" s="137"/>
      <c r="E361" s="137"/>
      <c r="F361" s="137"/>
      <c r="G361" s="169">
        <f t="shared" si="166"/>
        <v>0</v>
      </c>
      <c r="H361" s="169" t="b">
        <f t="shared" si="142"/>
        <v>0</v>
      </c>
      <c r="I361" s="171"/>
      <c r="J361" s="171"/>
      <c r="K361" s="169">
        <f t="shared" si="159"/>
        <v>0</v>
      </c>
      <c r="L361" s="172"/>
      <c r="M361" s="169">
        <f t="shared" si="160"/>
        <v>0</v>
      </c>
      <c r="N361" s="169">
        <f t="shared" si="169"/>
        <v>-0.31875000000000003</v>
      </c>
      <c r="O361" s="169">
        <f>O360+N361</f>
        <v>-0.63750000000000007</v>
      </c>
      <c r="P361" s="215">
        <f t="shared" ref="P361:P377" si="174">P360+N361</f>
        <v>-3.5062500000000005</v>
      </c>
      <c r="Q361" s="71"/>
      <c r="R361" s="71"/>
      <c r="S361" s="72"/>
    </row>
    <row r="362" spans="2:19" x14ac:dyDescent="0.25">
      <c r="B362" s="139">
        <v>44180</v>
      </c>
      <c r="C362" s="214" t="s">
        <v>23</v>
      </c>
      <c r="D362" s="137"/>
      <c r="E362" s="137"/>
      <c r="F362" s="137"/>
      <c r="G362" s="169">
        <f t="shared" si="166"/>
        <v>0</v>
      </c>
      <c r="H362" s="169" t="b">
        <f t="shared" si="142"/>
        <v>0</v>
      </c>
      <c r="I362" s="171"/>
      <c r="J362" s="171"/>
      <c r="K362" s="169">
        <f t="shared" si="159"/>
        <v>0</v>
      </c>
      <c r="L362" s="172"/>
      <c r="M362" s="169">
        <f t="shared" si="160"/>
        <v>0</v>
      </c>
      <c r="N362" s="169">
        <f t="shared" si="169"/>
        <v>-0.31875000000000003</v>
      </c>
      <c r="O362" s="169">
        <f>O361+N362</f>
        <v>-0.95625000000000004</v>
      </c>
      <c r="P362" s="213">
        <f t="shared" si="174"/>
        <v>-3.8250000000000006</v>
      </c>
      <c r="Q362" s="71"/>
      <c r="R362" s="71"/>
      <c r="S362" s="72"/>
    </row>
    <row r="363" spans="2:19" ht="15.75" thickBot="1" x14ac:dyDescent="0.3">
      <c r="B363" s="139">
        <v>44181</v>
      </c>
      <c r="C363" s="214" t="s">
        <v>8</v>
      </c>
      <c r="D363" s="137"/>
      <c r="E363" s="137"/>
      <c r="F363" s="137"/>
      <c r="G363" s="169">
        <f t="shared" si="166"/>
        <v>0</v>
      </c>
      <c r="H363" s="169" t="b">
        <f t="shared" ref="H363:H364" si="175">IF(G363&gt;$I$6,G363)</f>
        <v>0</v>
      </c>
      <c r="I363" s="137"/>
      <c r="J363" s="137"/>
      <c r="K363" s="169">
        <f t="shared" si="159"/>
        <v>0</v>
      </c>
      <c r="L363" s="172"/>
      <c r="M363" s="169">
        <f t="shared" si="160"/>
        <v>0</v>
      </c>
      <c r="N363" s="169">
        <f t="shared" si="169"/>
        <v>-0.31875000000000003</v>
      </c>
      <c r="O363" s="169">
        <f>O362+N363</f>
        <v>-1.2750000000000001</v>
      </c>
      <c r="P363" s="215">
        <f t="shared" si="174"/>
        <v>-4.1437500000000007</v>
      </c>
      <c r="Q363" s="71"/>
      <c r="R363" s="71"/>
      <c r="S363" s="72"/>
    </row>
    <row r="364" spans="2:19" ht="15.75" thickBot="1" x14ac:dyDescent="0.3">
      <c r="B364" s="139">
        <v>44182</v>
      </c>
      <c r="C364" s="214" t="s">
        <v>9</v>
      </c>
      <c r="D364" s="137"/>
      <c r="E364" s="137"/>
      <c r="F364" s="137"/>
      <c r="G364" s="169">
        <f t="shared" si="166"/>
        <v>0</v>
      </c>
      <c r="H364" s="169" t="b">
        <f t="shared" si="175"/>
        <v>0</v>
      </c>
      <c r="I364" s="171"/>
      <c r="J364" s="171"/>
      <c r="K364" s="169">
        <f t="shared" si="159"/>
        <v>0</v>
      </c>
      <c r="L364" s="172"/>
      <c r="M364" s="169">
        <f t="shared" si="160"/>
        <v>0</v>
      </c>
      <c r="N364" s="169">
        <f t="shared" si="169"/>
        <v>-0.31875000000000003</v>
      </c>
      <c r="O364" s="169">
        <f>O363+N364</f>
        <v>-1.5937500000000002</v>
      </c>
      <c r="P364" s="213">
        <f t="shared" si="174"/>
        <v>-4.4625000000000004</v>
      </c>
      <c r="Q364" s="71"/>
      <c r="R364" s="71"/>
      <c r="S364" s="72"/>
    </row>
    <row r="365" spans="2:19" x14ac:dyDescent="0.25">
      <c r="B365" s="139">
        <v>44183</v>
      </c>
      <c r="C365" s="42" t="s">
        <v>21</v>
      </c>
      <c r="D365" s="43"/>
      <c r="E365" s="43"/>
      <c r="F365" s="43"/>
      <c r="G365" s="34"/>
      <c r="H365" s="34"/>
      <c r="I365" s="28"/>
      <c r="J365" s="28"/>
      <c r="K365" s="34"/>
      <c r="L365" s="27"/>
      <c r="M365" s="34">
        <f t="shared" si="160"/>
        <v>0</v>
      </c>
      <c r="N365" s="34"/>
      <c r="O365" s="34"/>
      <c r="P365" s="213"/>
      <c r="Q365" s="72"/>
      <c r="R365" s="72">
        <f t="shared" ref="R365" si="176">Q365/5</f>
        <v>0</v>
      </c>
      <c r="S365" s="72"/>
    </row>
    <row r="366" spans="2:19" ht="15.75" thickBot="1" x14ac:dyDescent="0.3">
      <c r="B366" s="139">
        <v>44184</v>
      </c>
      <c r="C366" s="42" t="s">
        <v>22</v>
      </c>
      <c r="D366" s="43"/>
      <c r="E366" s="43"/>
      <c r="F366" s="43"/>
      <c r="G366" s="34"/>
      <c r="H366" s="34"/>
      <c r="I366" s="28"/>
      <c r="J366" s="28"/>
      <c r="K366" s="34"/>
      <c r="L366" s="27"/>
      <c r="M366" s="34">
        <f t="shared" si="160"/>
        <v>0</v>
      </c>
      <c r="N366" s="34"/>
      <c r="O366" s="34"/>
      <c r="P366" s="215"/>
      <c r="Q366" s="71"/>
      <c r="R366" s="71"/>
      <c r="S366" s="72"/>
    </row>
    <row r="367" spans="2:19" x14ac:dyDescent="0.25">
      <c r="B367" s="139">
        <v>44185</v>
      </c>
      <c r="C367" s="214" t="s">
        <v>6</v>
      </c>
      <c r="D367" s="137"/>
      <c r="E367" s="137"/>
      <c r="F367" s="137"/>
      <c r="G367" s="169"/>
      <c r="H367" s="169" t="b">
        <f t="shared" si="167"/>
        <v>0</v>
      </c>
      <c r="I367" s="171"/>
      <c r="J367" s="171"/>
      <c r="K367" s="169">
        <f t="shared" si="159"/>
        <v>0</v>
      </c>
      <c r="L367" s="172"/>
      <c r="M367" s="169">
        <f t="shared" si="160"/>
        <v>0</v>
      </c>
      <c r="N367" s="169">
        <f t="shared" si="169"/>
        <v>-0.31875000000000003</v>
      </c>
      <c r="O367" s="169">
        <f>N367</f>
        <v>-0.31875000000000003</v>
      </c>
      <c r="P367" s="213">
        <f>P364+N367</f>
        <v>-4.78125</v>
      </c>
      <c r="Q367" s="71"/>
      <c r="R367" s="71"/>
      <c r="S367" s="72"/>
    </row>
    <row r="368" spans="2:19" ht="15.75" thickBot="1" x14ac:dyDescent="0.3">
      <c r="B368" s="139">
        <v>44186</v>
      </c>
      <c r="C368" s="214" t="s">
        <v>7</v>
      </c>
      <c r="D368" s="137"/>
      <c r="E368" s="137"/>
      <c r="F368" s="137"/>
      <c r="G368" s="169">
        <f t="shared" si="166"/>
        <v>0</v>
      </c>
      <c r="H368" s="169" t="b">
        <f t="shared" si="167"/>
        <v>0</v>
      </c>
      <c r="I368" s="171"/>
      <c r="J368" s="171"/>
      <c r="K368" s="169">
        <f t="shared" si="159"/>
        <v>0</v>
      </c>
      <c r="L368" s="172"/>
      <c r="M368" s="169">
        <f t="shared" si="160"/>
        <v>0</v>
      </c>
      <c r="N368" s="169">
        <f t="shared" si="169"/>
        <v>-0.31875000000000003</v>
      </c>
      <c r="O368" s="169">
        <f>O367+N368</f>
        <v>-0.63750000000000007</v>
      </c>
      <c r="P368" s="215">
        <f t="shared" ref="P368:P377" si="177">P367+N368</f>
        <v>-5.0999999999999996</v>
      </c>
      <c r="Q368" s="71"/>
      <c r="R368" s="71"/>
      <c r="S368" s="72"/>
    </row>
    <row r="369" spans="2:19" x14ac:dyDescent="0.25">
      <c r="B369" s="139">
        <v>44187</v>
      </c>
      <c r="C369" s="214" t="s">
        <v>23</v>
      </c>
      <c r="D369" s="137"/>
      <c r="E369" s="137"/>
      <c r="F369" s="137"/>
      <c r="G369" s="169">
        <f t="shared" si="166"/>
        <v>0</v>
      </c>
      <c r="H369" s="169" t="b">
        <f t="shared" ref="H369:H371" si="178">IF(G369&gt;$I$6,G369-$I$6)</f>
        <v>0</v>
      </c>
      <c r="I369" s="171"/>
      <c r="J369" s="171"/>
      <c r="K369" s="169">
        <f t="shared" si="159"/>
        <v>0</v>
      </c>
      <c r="L369" s="172"/>
      <c r="M369" s="169">
        <f t="shared" si="160"/>
        <v>0</v>
      </c>
      <c r="N369" s="169">
        <f t="shared" si="169"/>
        <v>-0.31875000000000003</v>
      </c>
      <c r="O369" s="169">
        <f>O368+N369</f>
        <v>-0.95625000000000004</v>
      </c>
      <c r="P369" s="213">
        <f t="shared" si="177"/>
        <v>-5.4187499999999993</v>
      </c>
      <c r="Q369" s="71"/>
      <c r="R369" s="71"/>
      <c r="S369" s="72"/>
    </row>
    <row r="370" spans="2:19" ht="15.75" thickBot="1" x14ac:dyDescent="0.3">
      <c r="B370" s="139">
        <v>44188</v>
      </c>
      <c r="C370" s="214" t="s">
        <v>8</v>
      </c>
      <c r="D370" s="137"/>
      <c r="E370" s="137"/>
      <c r="F370" s="137"/>
      <c r="G370" s="169">
        <f t="shared" si="166"/>
        <v>0</v>
      </c>
      <c r="H370" s="169" t="b">
        <f t="shared" si="178"/>
        <v>0</v>
      </c>
      <c r="I370" s="137"/>
      <c r="J370" s="137"/>
      <c r="K370" s="169">
        <f t="shared" si="159"/>
        <v>0</v>
      </c>
      <c r="L370" s="172"/>
      <c r="M370" s="169">
        <f t="shared" si="160"/>
        <v>0</v>
      </c>
      <c r="N370" s="169">
        <f t="shared" si="169"/>
        <v>-0.31875000000000003</v>
      </c>
      <c r="O370" s="169">
        <f>O369+N370</f>
        <v>-1.2750000000000001</v>
      </c>
      <c r="P370" s="215">
        <f t="shared" si="174"/>
        <v>-5.7374999999999989</v>
      </c>
      <c r="Q370" s="71"/>
      <c r="R370" s="71"/>
      <c r="S370" s="72"/>
    </row>
    <row r="371" spans="2:19" ht="15.75" thickBot="1" x14ac:dyDescent="0.3">
      <c r="B371" s="139">
        <v>44189</v>
      </c>
      <c r="C371" s="214" t="s">
        <v>9</v>
      </c>
      <c r="D371" s="137"/>
      <c r="E371" s="137"/>
      <c r="F371" s="137"/>
      <c r="G371" s="169">
        <f t="shared" si="166"/>
        <v>0</v>
      </c>
      <c r="H371" s="169" t="b">
        <f t="shared" si="178"/>
        <v>0</v>
      </c>
      <c r="I371" s="171"/>
      <c r="J371" s="171"/>
      <c r="K371" s="169">
        <f t="shared" si="159"/>
        <v>0</v>
      </c>
      <c r="L371" s="172"/>
      <c r="M371" s="169">
        <f t="shared" si="160"/>
        <v>0</v>
      </c>
      <c r="N371" s="169">
        <f t="shared" si="169"/>
        <v>-0.31875000000000003</v>
      </c>
      <c r="O371" s="169">
        <f>O370+N371</f>
        <v>-1.5937500000000002</v>
      </c>
      <c r="P371" s="213">
        <f t="shared" si="174"/>
        <v>-6.0562499999999986</v>
      </c>
      <c r="Q371" s="71"/>
      <c r="R371" s="191"/>
      <c r="S371" s="72"/>
    </row>
    <row r="372" spans="2:19" x14ac:dyDescent="0.25">
      <c r="B372" s="139">
        <v>44190</v>
      </c>
      <c r="C372" s="42" t="s">
        <v>21</v>
      </c>
      <c r="D372" s="43"/>
      <c r="E372" s="43"/>
      <c r="F372" s="43"/>
      <c r="G372" s="34"/>
      <c r="H372" s="34"/>
      <c r="I372" s="28"/>
      <c r="J372" s="28"/>
      <c r="K372" s="34"/>
      <c r="L372" s="27"/>
      <c r="M372" s="34">
        <f t="shared" si="160"/>
        <v>0</v>
      </c>
      <c r="N372" s="34"/>
      <c r="O372" s="34"/>
      <c r="P372" s="213"/>
      <c r="Q372" s="72"/>
      <c r="R372" s="72">
        <f t="shared" ref="R372" si="179">Q372/5</f>
        <v>0</v>
      </c>
      <c r="S372" s="72"/>
    </row>
    <row r="373" spans="2:19" ht="15.75" thickBot="1" x14ac:dyDescent="0.3">
      <c r="B373" s="139">
        <v>44191</v>
      </c>
      <c r="C373" s="42" t="s">
        <v>22</v>
      </c>
      <c r="D373" s="43"/>
      <c r="E373" s="43"/>
      <c r="F373" s="43"/>
      <c r="G373" s="34"/>
      <c r="H373" s="34"/>
      <c r="I373" s="28"/>
      <c r="J373" s="28"/>
      <c r="K373" s="34"/>
      <c r="L373" s="27"/>
      <c r="M373" s="34">
        <f t="shared" si="160"/>
        <v>0</v>
      </c>
      <c r="N373" s="34"/>
      <c r="O373" s="34"/>
      <c r="P373" s="215"/>
      <c r="Q373" s="71"/>
      <c r="R373" s="71"/>
      <c r="S373" s="72"/>
    </row>
    <row r="374" spans="2:19" x14ac:dyDescent="0.25">
      <c r="B374" s="139">
        <v>44192</v>
      </c>
      <c r="C374" s="214" t="s">
        <v>6</v>
      </c>
      <c r="D374" s="137"/>
      <c r="E374" s="137"/>
      <c r="F374" s="137"/>
      <c r="G374" s="169"/>
      <c r="H374" s="169" t="b">
        <f t="shared" ref="H374:H375" si="180">IF(G374&gt;$I$6,G374)</f>
        <v>0</v>
      </c>
      <c r="I374" s="171"/>
      <c r="J374" s="171"/>
      <c r="K374" s="169">
        <f t="shared" si="159"/>
        <v>0</v>
      </c>
      <c r="L374" s="172"/>
      <c r="M374" s="169">
        <f t="shared" si="160"/>
        <v>0</v>
      </c>
      <c r="N374" s="169">
        <f>M374-$D$6</f>
        <v>-0.31875000000000003</v>
      </c>
      <c r="O374" s="169">
        <f>N374</f>
        <v>-0.31875000000000003</v>
      </c>
      <c r="P374" s="213">
        <f>P371+N374</f>
        <v>-6.3749999999999982</v>
      </c>
      <c r="Q374" s="71"/>
      <c r="R374" s="71"/>
      <c r="S374" s="72"/>
    </row>
    <row r="375" spans="2:19" ht="15.75" thickBot="1" x14ac:dyDescent="0.3">
      <c r="B375" s="139">
        <v>44193</v>
      </c>
      <c r="C375" s="214" t="s">
        <v>7</v>
      </c>
      <c r="D375" s="137"/>
      <c r="E375" s="137"/>
      <c r="F375" s="137"/>
      <c r="G375" s="169">
        <f t="shared" si="166"/>
        <v>0</v>
      </c>
      <c r="H375" s="169" t="b">
        <f t="shared" si="180"/>
        <v>0</v>
      </c>
      <c r="I375" s="171"/>
      <c r="J375" s="171"/>
      <c r="K375" s="169">
        <f t="shared" si="159"/>
        <v>0</v>
      </c>
      <c r="L375" s="172"/>
      <c r="M375" s="169">
        <f t="shared" si="160"/>
        <v>0</v>
      </c>
      <c r="N375" s="169">
        <f>M375-$D$6</f>
        <v>-0.31875000000000003</v>
      </c>
      <c r="O375" s="169">
        <f>O374+N375</f>
        <v>-0.63750000000000007</v>
      </c>
      <c r="P375" s="215">
        <f t="shared" ref="P375:P377" si="181">P374+N375</f>
        <v>-6.6937499999999979</v>
      </c>
      <c r="Q375" s="71"/>
      <c r="R375" s="71"/>
      <c r="S375" s="72"/>
    </row>
    <row r="376" spans="2:19" x14ac:dyDescent="0.25">
      <c r="B376" s="139">
        <v>44194</v>
      </c>
      <c r="C376" s="214" t="s">
        <v>23</v>
      </c>
      <c r="D376" s="137"/>
      <c r="E376" s="137"/>
      <c r="F376" s="137"/>
      <c r="G376" s="169">
        <f t="shared" si="166"/>
        <v>0</v>
      </c>
      <c r="H376" s="169" t="b">
        <f t="shared" si="167"/>
        <v>0</v>
      </c>
      <c r="I376" s="171"/>
      <c r="J376" s="171"/>
      <c r="K376" s="169">
        <f t="shared" si="159"/>
        <v>0</v>
      </c>
      <c r="L376" s="172"/>
      <c r="M376" s="169">
        <f t="shared" si="160"/>
        <v>0</v>
      </c>
      <c r="N376" s="169">
        <f t="shared" si="169"/>
        <v>-0.31875000000000003</v>
      </c>
      <c r="O376" s="169">
        <f>O375+N376</f>
        <v>-0.95625000000000004</v>
      </c>
      <c r="P376" s="213">
        <f t="shared" si="181"/>
        <v>-7.0124999999999975</v>
      </c>
      <c r="Q376" s="72">
        <f>SUM(M375:M376)</f>
        <v>0</v>
      </c>
      <c r="R376" s="71"/>
      <c r="S376" s="72"/>
    </row>
    <row r="377" spans="2:19" ht="15.75" thickBot="1" x14ac:dyDescent="0.3">
      <c r="B377" s="140">
        <v>44195</v>
      </c>
      <c r="C377" s="214" t="s">
        <v>8</v>
      </c>
      <c r="D377" s="137"/>
      <c r="E377" s="137"/>
      <c r="F377" s="137"/>
      <c r="G377" s="169">
        <f t="shared" si="166"/>
        <v>0</v>
      </c>
      <c r="H377" s="169" t="b">
        <f t="shared" si="167"/>
        <v>0</v>
      </c>
      <c r="I377" s="137"/>
      <c r="J377" s="137"/>
      <c r="K377" s="169">
        <f t="shared" si="159"/>
        <v>0</v>
      </c>
      <c r="L377" s="172"/>
      <c r="M377" s="169">
        <f t="shared" si="160"/>
        <v>0</v>
      </c>
      <c r="N377" s="169">
        <f t="shared" si="169"/>
        <v>-0.31875000000000003</v>
      </c>
      <c r="O377" s="169">
        <f>O376+N377</f>
        <v>-1.2750000000000001</v>
      </c>
      <c r="P377" s="215">
        <f t="shared" si="174"/>
        <v>-7.3312499999999972</v>
      </c>
      <c r="Q377" s="71"/>
      <c r="R377" s="192"/>
      <c r="S377" s="72"/>
    </row>
    <row r="378" spans="2:19" x14ac:dyDescent="0.25">
      <c r="O378" s="213"/>
    </row>
    <row r="380" spans="2:19" x14ac:dyDescent="0.25">
      <c r="H380" s="157"/>
    </row>
  </sheetData>
  <mergeCells count="4">
    <mergeCell ref="B6:C6"/>
    <mergeCell ref="D11:H11"/>
    <mergeCell ref="I11:K11"/>
    <mergeCell ref="B12:C12"/>
  </mergeCells>
  <conditionalFormatting sqref="P13:P377">
    <cfRule type="cellIs" dxfId="121" priority="111" operator="lessThan">
      <formula>0</formula>
    </cfRule>
    <cfRule type="cellIs" dxfId="120" priority="112" operator="greaterThan">
      <formula>0</formula>
    </cfRule>
  </conditionalFormatting>
  <conditionalFormatting sqref="O378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pageSetUpPr fitToPage="1"/>
  </sheetPr>
  <dimension ref="A2:V380"/>
  <sheetViews>
    <sheetView showGridLines="0" zoomScale="70" zoomScaleNormal="70" workbookViewId="0">
      <pane ySplit="12" topLeftCell="A13" activePane="bottomLeft" state="frozen"/>
      <selection pane="bottomLeft" activeCell="H20" sqref="H20"/>
    </sheetView>
  </sheetViews>
  <sheetFormatPr baseColWidth="10" defaultRowHeight="15" x14ac:dyDescent="0.25"/>
  <cols>
    <col min="1" max="1" width="4.42578125" customWidth="1"/>
    <col min="2" max="2" width="13.7109375" style="8" customWidth="1"/>
    <col min="3" max="3" width="16.5703125" customWidth="1"/>
    <col min="4" max="4" width="12.85546875" bestFit="1" customWidth="1"/>
    <col min="5" max="5" width="13.28515625" customWidth="1"/>
    <col min="6" max="6" width="15" bestFit="1" customWidth="1"/>
    <col min="7" max="7" width="15.85546875" customWidth="1"/>
    <col min="8" max="8" width="13.7109375" customWidth="1"/>
    <col min="9" max="9" width="16.5703125" customWidth="1"/>
    <col min="10" max="10" width="19.140625" customWidth="1"/>
    <col min="11" max="11" width="15.85546875" customWidth="1"/>
    <col min="12" max="12" width="17.5703125" customWidth="1"/>
    <col min="13" max="13" width="21.42578125" customWidth="1"/>
    <col min="14" max="14" width="17.7109375" customWidth="1"/>
    <col min="15" max="15" width="18.42578125" customWidth="1"/>
    <col min="16" max="16" width="19.7109375" customWidth="1"/>
    <col min="19" max="19" width="22" bestFit="1" customWidth="1"/>
    <col min="20" max="20" width="10.7109375" bestFit="1" customWidth="1"/>
    <col min="21" max="21" width="18.140625" customWidth="1"/>
    <col min="22" max="22" width="14.85546875" bestFit="1" customWidth="1"/>
  </cols>
  <sheetData>
    <row r="2" spans="1:19" x14ac:dyDescent="0.25">
      <c r="O2" t="s">
        <v>6</v>
      </c>
      <c r="P2" s="86">
        <v>0.33055555555555555</v>
      </c>
      <c r="Q2" s="86">
        <v>0.33680555555555558</v>
      </c>
    </row>
    <row r="3" spans="1:19" ht="16.5" customHeight="1" x14ac:dyDescent="0.3">
      <c r="D3" s="9" t="s">
        <v>28</v>
      </c>
      <c r="E3" s="2"/>
      <c r="F3" s="2"/>
      <c r="G3" s="2"/>
      <c r="H3" s="3"/>
      <c r="I3" s="3"/>
      <c r="O3" t="s">
        <v>7</v>
      </c>
      <c r="P3" s="86">
        <v>0.33055555555555555</v>
      </c>
      <c r="Q3" s="86">
        <v>0.33680555555555558</v>
      </c>
    </row>
    <row r="4" spans="1:19" x14ac:dyDescent="0.25">
      <c r="C4" s="4"/>
      <c r="D4" s="4"/>
      <c r="E4" s="4"/>
      <c r="F4" s="4"/>
      <c r="G4" s="4"/>
      <c r="H4" s="3"/>
      <c r="I4" s="3"/>
      <c r="O4" t="s">
        <v>30</v>
      </c>
      <c r="P4" s="86">
        <v>0.33055555555555555</v>
      </c>
      <c r="Q4" s="86">
        <v>0.33680555555555558</v>
      </c>
    </row>
    <row r="5" spans="1:19" x14ac:dyDescent="0.25">
      <c r="C5" s="5"/>
      <c r="D5" s="6" t="s">
        <v>18</v>
      </c>
      <c r="E5" s="6" t="s">
        <v>19</v>
      </c>
      <c r="F5" s="4"/>
      <c r="G5" s="6" t="s">
        <v>20</v>
      </c>
      <c r="H5" s="3"/>
      <c r="I5" s="6" t="s">
        <v>24</v>
      </c>
      <c r="J5" s="6" t="s">
        <v>27</v>
      </c>
      <c r="L5" s="6" t="s">
        <v>59</v>
      </c>
      <c r="M5" s="6" t="s">
        <v>29</v>
      </c>
      <c r="O5" t="s">
        <v>8</v>
      </c>
      <c r="P5" s="86">
        <v>0.33055555555555555</v>
      </c>
      <c r="Q5" s="86">
        <v>0.33680555555555558</v>
      </c>
    </row>
    <row r="6" spans="1:19" x14ac:dyDescent="0.25">
      <c r="B6" s="196" t="s">
        <v>17</v>
      </c>
      <c r="C6" s="197"/>
      <c r="D6" s="7">
        <v>0.31875000000000003</v>
      </c>
      <c r="E6" s="7">
        <v>0.29166666666666669</v>
      </c>
      <c r="F6" s="4"/>
      <c r="G6" s="7">
        <v>0.20833333333333334</v>
      </c>
      <c r="H6" s="3"/>
      <c r="I6" s="7">
        <v>1.3888888888888888E-2</v>
      </c>
      <c r="J6" s="7">
        <v>4.1666666666666664E-2</v>
      </c>
      <c r="L6" s="87">
        <v>1.59375</v>
      </c>
      <c r="M6" s="87">
        <v>1.4583333333333333</v>
      </c>
      <c r="O6" t="s">
        <v>9</v>
      </c>
      <c r="P6" s="86">
        <v>0.27152777777777776</v>
      </c>
      <c r="Q6" s="86">
        <v>0.25</v>
      </c>
    </row>
    <row r="7" spans="1:19" x14ac:dyDescent="0.25">
      <c r="P7" s="87">
        <f>SUM(P2:P6)</f>
        <v>1.59375</v>
      </c>
      <c r="Q7" s="87">
        <f>SUM(Q2:Q6)</f>
        <v>1.5972222222222223</v>
      </c>
    </row>
    <row r="10" spans="1:19" ht="15.75" thickBot="1" x14ac:dyDescent="0.3"/>
    <row r="11" spans="1:19" ht="19.5" customHeight="1" thickBot="1" x14ac:dyDescent="0.35">
      <c r="B11" s="40"/>
      <c r="C11" s="41"/>
      <c r="D11" s="198" t="s">
        <v>25</v>
      </c>
      <c r="E11" s="199"/>
      <c r="F11" s="199"/>
      <c r="G11" s="199"/>
      <c r="H11" s="200"/>
      <c r="I11" s="201" t="s">
        <v>26</v>
      </c>
      <c r="J11" s="202"/>
      <c r="K11" s="203"/>
      <c r="L11" s="10"/>
      <c r="M11" s="10"/>
      <c r="N11" s="10"/>
      <c r="O11" s="10"/>
      <c r="P11" s="11"/>
      <c r="Q11" s="11"/>
      <c r="R11" s="11"/>
    </row>
    <row r="12" spans="1:19" ht="30" customHeight="1" thickBot="1" x14ac:dyDescent="0.3">
      <c r="B12" s="194"/>
      <c r="C12" s="195"/>
      <c r="D12" s="37" t="s">
        <v>0</v>
      </c>
      <c r="E12" s="37" t="s">
        <v>3</v>
      </c>
      <c r="F12" s="37" t="s">
        <v>4</v>
      </c>
      <c r="G12" s="37" t="s">
        <v>5</v>
      </c>
      <c r="H12" s="37" t="s">
        <v>10</v>
      </c>
      <c r="I12" s="37" t="s">
        <v>13</v>
      </c>
      <c r="J12" s="37" t="s">
        <v>14</v>
      </c>
      <c r="K12" s="37" t="s">
        <v>15</v>
      </c>
      <c r="L12" s="37" t="s">
        <v>1</v>
      </c>
      <c r="M12" s="37" t="s">
        <v>2</v>
      </c>
      <c r="N12" s="37" t="s">
        <v>12</v>
      </c>
      <c r="O12" s="37" t="s">
        <v>11</v>
      </c>
      <c r="P12" s="38" t="s">
        <v>16</v>
      </c>
      <c r="Q12" s="69" t="s">
        <v>31</v>
      </c>
      <c r="R12" s="69" t="s">
        <v>32</v>
      </c>
      <c r="S12" s="193" t="s">
        <v>73</v>
      </c>
    </row>
    <row r="13" spans="1:19" s="1" customFormat="1" x14ac:dyDescent="0.25">
      <c r="B13" s="139">
        <v>43830</v>
      </c>
      <c r="C13" s="12" t="s">
        <v>23</v>
      </c>
      <c r="D13" s="152">
        <v>0.3125</v>
      </c>
      <c r="E13" s="158"/>
      <c r="F13" s="158"/>
      <c r="G13" s="151">
        <f>F13-E13</f>
        <v>0</v>
      </c>
      <c r="H13" s="152" t="b">
        <f>IF(G13&gt;$I$6,G13)</f>
        <v>0</v>
      </c>
      <c r="I13" s="158"/>
      <c r="J13" s="158"/>
      <c r="K13" s="150">
        <f t="shared" ref="K13:K48" si="0">J13-I13</f>
        <v>0</v>
      </c>
      <c r="L13" s="153">
        <v>0.6430555555555556</v>
      </c>
      <c r="M13" s="32">
        <f t="shared" ref="M13:M15" si="1">(L13-D13)-H13-K13</f>
        <v>0.3305555555555556</v>
      </c>
      <c r="N13" s="154">
        <f>M13-$D$6</f>
        <v>1.1805555555555569E-2</v>
      </c>
      <c r="O13" s="155">
        <f>N13</f>
        <v>1.1805555555555569E-2</v>
      </c>
      <c r="P13" s="159">
        <v>0</v>
      </c>
      <c r="Q13" s="87">
        <f>M13</f>
        <v>0.3305555555555556</v>
      </c>
      <c r="R13" s="160"/>
      <c r="S13" s="1" t="s">
        <v>66</v>
      </c>
    </row>
    <row r="14" spans="1:19" s="1" customFormat="1" x14ac:dyDescent="0.25">
      <c r="B14" s="139">
        <v>43831</v>
      </c>
      <c r="C14" s="12" t="s">
        <v>8</v>
      </c>
      <c r="D14" s="152">
        <v>0.3125</v>
      </c>
      <c r="E14" s="158"/>
      <c r="F14" s="158"/>
      <c r="G14" s="151">
        <f>F14-E14</f>
        <v>0</v>
      </c>
      <c r="H14" s="152" t="b">
        <f>IF(G14&gt;$I$6,G14)</f>
        <v>0</v>
      </c>
      <c r="I14" s="158"/>
      <c r="J14" s="158"/>
      <c r="K14" s="150">
        <f t="shared" si="0"/>
        <v>0</v>
      </c>
      <c r="L14" s="153">
        <v>0.6430555555555556</v>
      </c>
      <c r="M14" s="32">
        <f t="shared" si="1"/>
        <v>0.3305555555555556</v>
      </c>
      <c r="N14" s="154">
        <f>M14-$D$6</f>
        <v>1.1805555555555569E-2</v>
      </c>
      <c r="O14" s="155">
        <f>O13+N14</f>
        <v>2.3611111111111138E-2</v>
      </c>
      <c r="P14" s="159">
        <f>P13+N14</f>
        <v>1.1805555555555569E-2</v>
      </c>
      <c r="Q14" s="87">
        <f>Q13+M14</f>
        <v>0.6611111111111112</v>
      </c>
      <c r="R14" s="160"/>
      <c r="S14" s="1" t="s">
        <v>64</v>
      </c>
    </row>
    <row r="15" spans="1:19" s="1" customFormat="1" x14ac:dyDescent="0.25">
      <c r="B15" s="139">
        <v>43832</v>
      </c>
      <c r="C15" s="12" t="s">
        <v>9</v>
      </c>
      <c r="D15" s="152">
        <v>0.3125</v>
      </c>
      <c r="E15" s="158"/>
      <c r="F15" s="158"/>
      <c r="G15" s="151">
        <f>F15-E15</f>
        <v>0</v>
      </c>
      <c r="H15" s="152" t="b">
        <f>IF(G15&gt;$I$6,G15)</f>
        <v>0</v>
      </c>
      <c r="I15" s="158"/>
      <c r="J15" s="161"/>
      <c r="K15" s="150">
        <f t="shared" si="0"/>
        <v>0</v>
      </c>
      <c r="L15" s="153">
        <v>0.58402777777777781</v>
      </c>
      <c r="M15" s="32">
        <f t="shared" si="1"/>
        <v>0.27152777777777781</v>
      </c>
      <c r="N15" s="154">
        <f>M15-$D$6</f>
        <v>-4.7222222222222221E-2</v>
      </c>
      <c r="O15" s="155">
        <f>O14+N15</f>
        <v>-2.3611111111111083E-2</v>
      </c>
      <c r="P15" s="159">
        <f t="shared" ref="P15:P29" si="2">P14+N15</f>
        <v>-3.5416666666666652E-2</v>
      </c>
      <c r="Q15" s="87">
        <f>Q14+M15</f>
        <v>0.93263888888888902</v>
      </c>
      <c r="R15" s="162">
        <f t="shared" ref="R15:R57" si="3">Q15/5</f>
        <v>0.18652777777777779</v>
      </c>
      <c r="S15" s="1" t="s">
        <v>64</v>
      </c>
    </row>
    <row r="16" spans="1:19" x14ac:dyDescent="0.25">
      <c r="A16" s="1"/>
      <c r="B16" s="139">
        <v>43833</v>
      </c>
      <c r="C16" s="42" t="s">
        <v>21</v>
      </c>
      <c r="D16" s="28"/>
      <c r="E16" s="28"/>
      <c r="F16" s="28"/>
      <c r="G16" s="34">
        <f>F16-E16</f>
        <v>0</v>
      </c>
      <c r="H16" s="34" t="b">
        <f t="shared" ref="H16:H18" si="4">IF(G16&gt;$I$6,G16)</f>
        <v>0</v>
      </c>
      <c r="I16" s="28"/>
      <c r="J16" s="28"/>
      <c r="K16" s="28"/>
      <c r="L16" s="29"/>
      <c r="M16" s="29"/>
      <c r="N16" s="29"/>
      <c r="O16" s="29"/>
      <c r="P16" s="66"/>
      <c r="Q16" s="71"/>
      <c r="R16" s="71"/>
    </row>
    <row r="17" spans="1:19" x14ac:dyDescent="0.25">
      <c r="A17" s="1"/>
      <c r="B17" s="139">
        <v>43834</v>
      </c>
      <c r="C17" s="42" t="s">
        <v>22</v>
      </c>
      <c r="D17" s="28"/>
      <c r="E17" s="28"/>
      <c r="F17" s="28"/>
      <c r="G17" s="34">
        <f t="shared" ref="G17:G26" si="5">F17-E17</f>
        <v>0</v>
      </c>
      <c r="H17" s="34" t="b">
        <f t="shared" si="4"/>
        <v>0</v>
      </c>
      <c r="I17" s="28"/>
      <c r="J17" s="28"/>
      <c r="K17" s="28"/>
      <c r="L17" s="29"/>
      <c r="M17" s="29"/>
      <c r="N17" s="29"/>
      <c r="O17" s="29"/>
      <c r="P17" s="66"/>
      <c r="Q17" s="71"/>
      <c r="R17" s="71"/>
    </row>
    <row r="18" spans="1:19" s="1" customFormat="1" x14ac:dyDescent="0.25">
      <c r="B18" s="139">
        <v>43835</v>
      </c>
      <c r="C18" s="12" t="s">
        <v>6</v>
      </c>
      <c r="D18" s="152">
        <v>0.3125</v>
      </c>
      <c r="E18" s="158"/>
      <c r="F18" s="158"/>
      <c r="G18" s="151">
        <f t="shared" si="5"/>
        <v>0</v>
      </c>
      <c r="H18" s="152" t="b">
        <f t="shared" si="4"/>
        <v>0</v>
      </c>
      <c r="I18" s="158"/>
      <c r="J18" s="161"/>
      <c r="K18" s="150">
        <f t="shared" si="0"/>
        <v>0</v>
      </c>
      <c r="L18" s="153">
        <v>0.6430555555555556</v>
      </c>
      <c r="M18" s="32">
        <f t="shared" ref="M18:M22" si="6">(L18-D18)-H18-K18</f>
        <v>0.3305555555555556</v>
      </c>
      <c r="N18" s="154">
        <f>M18-$D$6</f>
        <v>1.1805555555555569E-2</v>
      </c>
      <c r="O18" s="155">
        <f>N18</f>
        <v>1.1805555555555569E-2</v>
      </c>
      <c r="P18" s="159">
        <f t="shared" ref="P18" si="7">N18</f>
        <v>1.1805555555555569E-2</v>
      </c>
      <c r="Q18" s="163">
        <f>M18</f>
        <v>0.3305555555555556</v>
      </c>
      <c r="R18" s="160"/>
      <c r="S18" s="1" t="s">
        <v>65</v>
      </c>
    </row>
    <row r="19" spans="1:19" x14ac:dyDescent="0.25">
      <c r="A19" s="1"/>
      <c r="B19" s="139">
        <v>43836</v>
      </c>
      <c r="C19" s="12" t="s">
        <v>7</v>
      </c>
      <c r="D19" s="152">
        <v>0.3125</v>
      </c>
      <c r="E19" s="158"/>
      <c r="F19" s="158"/>
      <c r="G19" s="151">
        <f t="shared" si="5"/>
        <v>0</v>
      </c>
      <c r="H19" s="152" t="b">
        <f t="shared" ref="H19:H29" si="8">IF(G19&gt;$I$6,G19-$I$6)</f>
        <v>0</v>
      </c>
      <c r="I19" s="158"/>
      <c r="J19" s="158"/>
      <c r="K19" s="150">
        <f t="shared" si="0"/>
        <v>0</v>
      </c>
      <c r="L19" s="153">
        <v>0.6430555555555556</v>
      </c>
      <c r="M19" s="32">
        <f t="shared" si="6"/>
        <v>0.3305555555555556</v>
      </c>
      <c r="N19" s="154">
        <f>M19-$D$6</f>
        <v>1.1805555555555569E-2</v>
      </c>
      <c r="O19" s="155">
        <f>O18+N19</f>
        <v>2.3611111111111138E-2</v>
      </c>
      <c r="P19" s="159">
        <f t="shared" si="2"/>
        <v>2.3611111111111138E-2</v>
      </c>
      <c r="Q19" s="163">
        <f>M18+M19</f>
        <v>0.6611111111111112</v>
      </c>
      <c r="R19" s="160"/>
      <c r="S19" s="1" t="s">
        <v>64</v>
      </c>
    </row>
    <row r="20" spans="1:19" x14ac:dyDescent="0.25">
      <c r="A20" s="1"/>
      <c r="B20" s="139">
        <v>43837</v>
      </c>
      <c r="C20" s="12" t="s">
        <v>23</v>
      </c>
      <c r="D20" s="13">
        <v>0.32083333333333336</v>
      </c>
      <c r="E20" s="14">
        <v>0.44722222222222219</v>
      </c>
      <c r="F20" s="14">
        <v>0.46319444444444446</v>
      </c>
      <c r="G20" s="19">
        <f t="shared" si="5"/>
        <v>1.5972222222222276E-2</v>
      </c>
      <c r="H20" s="13">
        <f t="shared" si="8"/>
        <v>2.0833333333333884E-3</v>
      </c>
      <c r="I20" s="14"/>
      <c r="J20" s="14"/>
      <c r="K20" s="35">
        <f t="shared" si="0"/>
        <v>0</v>
      </c>
      <c r="L20" s="15">
        <v>0.68055555555555547</v>
      </c>
      <c r="M20" s="32">
        <f t="shared" si="6"/>
        <v>0.35763888888888873</v>
      </c>
      <c r="N20" s="23">
        <f>M20-$D$6</f>
        <v>3.8888888888888695E-2</v>
      </c>
      <c r="O20" s="33">
        <f>O19+N20</f>
        <v>6.2499999999999833E-2</v>
      </c>
      <c r="P20" s="67">
        <f t="shared" si="2"/>
        <v>6.2499999999999833E-2</v>
      </c>
      <c r="Q20" s="87">
        <f>Q19+M20</f>
        <v>1.0187499999999998</v>
      </c>
      <c r="R20" s="71"/>
    </row>
    <row r="21" spans="1:19" x14ac:dyDescent="0.25">
      <c r="A21" s="1"/>
      <c r="B21" s="139">
        <v>43838</v>
      </c>
      <c r="C21" s="12" t="s">
        <v>8</v>
      </c>
      <c r="D21" s="13">
        <v>0.31180555555555556</v>
      </c>
      <c r="E21" s="14">
        <v>0.44236111111111115</v>
      </c>
      <c r="F21" s="14">
        <v>0.46111111111111108</v>
      </c>
      <c r="G21" s="19">
        <f t="shared" si="5"/>
        <v>1.8749999999999933E-2</v>
      </c>
      <c r="H21" s="13">
        <f t="shared" si="8"/>
        <v>4.8611111111110453E-3</v>
      </c>
      <c r="I21" s="14"/>
      <c r="J21" s="138"/>
      <c r="K21" s="35">
        <f t="shared" si="0"/>
        <v>0</v>
      </c>
      <c r="L21" s="15">
        <v>0.67291666666666661</v>
      </c>
      <c r="M21" s="32">
        <f t="shared" si="6"/>
        <v>0.35625000000000001</v>
      </c>
      <c r="N21" s="23">
        <f>M21-$D$6</f>
        <v>3.7499999999999978E-2</v>
      </c>
      <c r="O21" s="33">
        <f>O20+N21</f>
        <v>9.9999999999999811E-2</v>
      </c>
      <c r="P21" s="67">
        <f t="shared" si="2"/>
        <v>9.9999999999999811E-2</v>
      </c>
      <c r="Q21" s="87">
        <f>Q20+M21</f>
        <v>1.3749999999999998</v>
      </c>
      <c r="R21" s="71"/>
    </row>
    <row r="22" spans="1:19" x14ac:dyDescent="0.25">
      <c r="A22" s="1"/>
      <c r="B22" s="139">
        <v>43839</v>
      </c>
      <c r="C22" s="12" t="s">
        <v>9</v>
      </c>
      <c r="D22" s="13">
        <v>0.31875000000000003</v>
      </c>
      <c r="E22" s="14">
        <v>0.45624999999999999</v>
      </c>
      <c r="F22" s="14">
        <v>0.47569444444444442</v>
      </c>
      <c r="G22" s="19">
        <f t="shared" si="5"/>
        <v>1.9444444444444431E-2</v>
      </c>
      <c r="H22" s="13">
        <f t="shared" si="8"/>
        <v>5.5555555555555428E-3</v>
      </c>
      <c r="I22" s="14"/>
      <c r="J22" s="14"/>
      <c r="K22" s="35">
        <f t="shared" si="0"/>
        <v>0</v>
      </c>
      <c r="L22" s="15">
        <v>0.58402777777777781</v>
      </c>
      <c r="M22" s="32">
        <f t="shared" si="6"/>
        <v>0.25972222222222224</v>
      </c>
      <c r="N22" s="23">
        <f>M22-$D$6</f>
        <v>-5.902777777777779E-2</v>
      </c>
      <c r="O22" s="33">
        <f>O21+N22</f>
        <v>4.0972222222222021E-2</v>
      </c>
      <c r="P22" s="67">
        <f t="shared" si="2"/>
        <v>4.0972222222222021E-2</v>
      </c>
      <c r="Q22" s="87">
        <f>Q21+M22</f>
        <v>1.634722222222222</v>
      </c>
      <c r="R22" s="72">
        <f>Q22/5</f>
        <v>0.32694444444444437</v>
      </c>
    </row>
    <row r="23" spans="1:19" x14ac:dyDescent="0.25">
      <c r="A23" s="1"/>
      <c r="B23" s="139">
        <v>43840</v>
      </c>
      <c r="C23" s="42" t="s">
        <v>21</v>
      </c>
      <c r="D23" s="28"/>
      <c r="E23" s="28"/>
      <c r="F23" s="28"/>
      <c r="G23" s="34">
        <f t="shared" si="5"/>
        <v>0</v>
      </c>
      <c r="H23" s="25"/>
      <c r="I23" s="28"/>
      <c r="J23" s="28"/>
      <c r="K23" s="28"/>
      <c r="L23" s="29"/>
      <c r="M23" s="29"/>
      <c r="N23" s="29"/>
      <c r="O23" s="29"/>
      <c r="P23" s="66"/>
      <c r="Q23" s="71"/>
      <c r="R23" s="71"/>
    </row>
    <row r="24" spans="1:19" x14ac:dyDescent="0.25">
      <c r="A24" s="1"/>
      <c r="B24" s="139">
        <v>43841</v>
      </c>
      <c r="C24" s="42" t="s">
        <v>22</v>
      </c>
      <c r="D24" s="28"/>
      <c r="E24" s="28"/>
      <c r="F24" s="28"/>
      <c r="G24" s="34">
        <f t="shared" si="5"/>
        <v>0</v>
      </c>
      <c r="H24" s="28"/>
      <c r="I24" s="28"/>
      <c r="J24" s="28"/>
      <c r="K24" s="28"/>
      <c r="L24" s="29"/>
      <c r="M24" s="29"/>
      <c r="N24" s="29"/>
      <c r="O24" s="29"/>
      <c r="P24" s="66"/>
      <c r="Q24" s="71"/>
      <c r="R24" s="71"/>
    </row>
    <row r="25" spans="1:19" x14ac:dyDescent="0.25">
      <c r="A25" s="1"/>
      <c r="B25" s="139">
        <v>43842</v>
      </c>
      <c r="C25" s="12" t="s">
        <v>6</v>
      </c>
      <c r="D25" s="13">
        <v>0.31597222222222221</v>
      </c>
      <c r="E25" s="14">
        <v>0.4465277777777778</v>
      </c>
      <c r="F25" s="14">
        <v>0.46666666666666662</v>
      </c>
      <c r="G25" s="19">
        <f t="shared" si="5"/>
        <v>2.0138888888888817E-2</v>
      </c>
      <c r="H25" s="13">
        <f t="shared" si="8"/>
        <v>6.2499999999999292E-3</v>
      </c>
      <c r="I25" s="14"/>
      <c r="J25" s="14"/>
      <c r="K25" s="35">
        <f t="shared" si="0"/>
        <v>0</v>
      </c>
      <c r="L25" s="15">
        <v>0.68125000000000002</v>
      </c>
      <c r="M25" s="32">
        <f>(L25-D25)-H25-K25</f>
        <v>0.35902777777777789</v>
      </c>
      <c r="N25" s="23">
        <f>M25-$D$6</f>
        <v>4.0277777777777857E-2</v>
      </c>
      <c r="O25" s="33">
        <f>N25</f>
        <v>4.0277777777777857E-2</v>
      </c>
      <c r="P25" s="67">
        <f t="shared" ref="P25" si="9">N25</f>
        <v>4.0277777777777857E-2</v>
      </c>
      <c r="Q25" s="87">
        <f>M25</f>
        <v>0.35902777777777789</v>
      </c>
      <c r="R25" s="71"/>
    </row>
    <row r="26" spans="1:19" x14ac:dyDescent="0.25">
      <c r="A26" s="1"/>
      <c r="B26" s="139">
        <v>43843</v>
      </c>
      <c r="C26" s="12" t="s">
        <v>7</v>
      </c>
      <c r="D26" s="13">
        <v>0.31180555555555556</v>
      </c>
      <c r="E26" s="14">
        <v>0.44305555555555554</v>
      </c>
      <c r="F26" s="14">
        <v>0.4597222222222222</v>
      </c>
      <c r="G26" s="19">
        <f t="shared" si="5"/>
        <v>1.6666666666666663E-2</v>
      </c>
      <c r="H26" s="13">
        <f t="shared" si="8"/>
        <v>2.7777777777777748E-3</v>
      </c>
      <c r="I26" s="14"/>
      <c r="J26" s="14"/>
      <c r="K26" s="35">
        <f t="shared" si="0"/>
        <v>0</v>
      </c>
      <c r="L26" s="15">
        <v>0.65416666666666667</v>
      </c>
      <c r="M26" s="32">
        <f>(L26-D26)-H26-K26</f>
        <v>0.33958333333333335</v>
      </c>
      <c r="N26" s="23">
        <f>M26-$D$6</f>
        <v>2.0833333333333315E-2</v>
      </c>
      <c r="O26" s="33">
        <f>O25+N26</f>
        <v>6.1111111111111172E-2</v>
      </c>
      <c r="P26" s="67">
        <f t="shared" si="2"/>
        <v>6.1111111111111172E-2</v>
      </c>
      <c r="Q26" s="87">
        <f>M25+M26</f>
        <v>0.69861111111111129</v>
      </c>
      <c r="R26" s="71"/>
    </row>
    <row r="27" spans="1:19" x14ac:dyDescent="0.25">
      <c r="A27" s="1"/>
      <c r="B27" s="139">
        <v>43844</v>
      </c>
      <c r="C27" s="12" t="s">
        <v>23</v>
      </c>
      <c r="D27" s="30">
        <v>0.31805555555555554</v>
      </c>
      <c r="E27" s="30">
        <v>0.44027777777777777</v>
      </c>
      <c r="F27" s="30">
        <v>0.45763888888888887</v>
      </c>
      <c r="G27" s="30">
        <f>F27-E27</f>
        <v>1.7361111111111105E-2</v>
      </c>
      <c r="H27" s="13">
        <f t="shared" si="8"/>
        <v>3.4722222222222168E-3</v>
      </c>
      <c r="I27" s="30"/>
      <c r="J27" s="30"/>
      <c r="K27" s="35">
        <f t="shared" si="0"/>
        <v>0</v>
      </c>
      <c r="L27" s="31">
        <v>0.66111111111111109</v>
      </c>
      <c r="M27" s="32">
        <f>(L27-D27)-H27-K27</f>
        <v>0.33958333333333335</v>
      </c>
      <c r="N27" s="23">
        <f>M27-$D$6</f>
        <v>2.0833333333333315E-2</v>
      </c>
      <c r="O27" s="33">
        <f>O26+N27</f>
        <v>8.1944444444444486E-2</v>
      </c>
      <c r="P27" s="67">
        <f t="shared" si="2"/>
        <v>8.1944444444444486E-2</v>
      </c>
      <c r="Q27" s="87">
        <f>Q26+M27</f>
        <v>1.0381944444444446</v>
      </c>
      <c r="R27" s="71"/>
    </row>
    <row r="28" spans="1:19" x14ac:dyDescent="0.25">
      <c r="A28" s="1"/>
      <c r="B28" s="139">
        <v>43845</v>
      </c>
      <c r="C28" s="12" t="s">
        <v>8</v>
      </c>
      <c r="D28" s="30">
        <v>0.31319444444444444</v>
      </c>
      <c r="E28" s="30">
        <v>0.43958333333333338</v>
      </c>
      <c r="F28" s="30">
        <v>0.46180555555555558</v>
      </c>
      <c r="G28" s="30">
        <f>F28-E28</f>
        <v>2.2222222222222199E-2</v>
      </c>
      <c r="H28" s="13">
        <f t="shared" si="8"/>
        <v>8.3333333333333107E-3</v>
      </c>
      <c r="I28" s="30"/>
      <c r="J28" s="30"/>
      <c r="K28" s="35">
        <f t="shared" si="0"/>
        <v>0</v>
      </c>
      <c r="L28" s="31">
        <v>0.65972222222222221</v>
      </c>
      <c r="M28" s="32">
        <f>(L28-D28)-H28-K28</f>
        <v>0.33819444444444446</v>
      </c>
      <c r="N28" s="23">
        <f>M28-$D$6</f>
        <v>1.9444444444444431E-2</v>
      </c>
      <c r="O28" s="33">
        <f>O27+N28</f>
        <v>0.10138888888888892</v>
      </c>
      <c r="P28" s="67">
        <f t="shared" si="2"/>
        <v>0.10138888888888892</v>
      </c>
      <c r="Q28" s="87">
        <f>Q27+M28</f>
        <v>1.3763888888888891</v>
      </c>
      <c r="R28" s="71"/>
    </row>
    <row r="29" spans="1:19" x14ac:dyDescent="0.25">
      <c r="A29" s="1"/>
      <c r="B29" s="139">
        <v>43846</v>
      </c>
      <c r="C29" s="12" t="s">
        <v>9</v>
      </c>
      <c r="D29" s="30">
        <v>0.3125</v>
      </c>
      <c r="E29" s="30">
        <v>0.4375</v>
      </c>
      <c r="F29" s="30">
        <v>0.4513888888888889</v>
      </c>
      <c r="G29" s="30">
        <f>F29-E29</f>
        <v>1.3888888888888895E-2</v>
      </c>
      <c r="H29" s="13" t="b">
        <f t="shared" si="8"/>
        <v>0</v>
      </c>
      <c r="I29" s="30"/>
      <c r="J29" s="30"/>
      <c r="K29" s="35">
        <f t="shared" si="0"/>
        <v>0</v>
      </c>
      <c r="L29" s="31">
        <v>0.58333333333333337</v>
      </c>
      <c r="M29" s="32">
        <f>(L29-D29)-H29-K29</f>
        <v>0.27083333333333337</v>
      </c>
      <c r="N29" s="23">
        <f>M29-$D$6</f>
        <v>-4.7916666666666663E-2</v>
      </c>
      <c r="O29" s="33">
        <f>O28+N29</f>
        <v>5.3472222222222254E-2</v>
      </c>
      <c r="P29" s="67">
        <f t="shared" si="2"/>
        <v>5.3472222222222254E-2</v>
      </c>
      <c r="Q29" s="87">
        <f>Q28+M29</f>
        <v>1.6472222222222226</v>
      </c>
      <c r="R29" s="72">
        <f>Q29/5</f>
        <v>0.32944444444444454</v>
      </c>
    </row>
    <row r="30" spans="1:19" x14ac:dyDescent="0.25">
      <c r="A30" s="1"/>
      <c r="B30" s="139">
        <v>43847</v>
      </c>
      <c r="C30" s="42" t="s">
        <v>21</v>
      </c>
      <c r="D30" s="28"/>
      <c r="E30" s="28"/>
      <c r="F30" s="28"/>
      <c r="G30" s="34"/>
      <c r="H30" s="25"/>
      <c r="I30" s="28"/>
      <c r="J30" s="28"/>
      <c r="K30" s="28"/>
      <c r="L30" s="29"/>
      <c r="M30" s="29"/>
      <c r="N30" s="29"/>
      <c r="O30" s="29"/>
      <c r="P30" s="66"/>
      <c r="Q30" s="71"/>
      <c r="R30" s="71"/>
    </row>
    <row r="31" spans="1:19" x14ac:dyDescent="0.25">
      <c r="A31" s="1"/>
      <c r="B31" s="139">
        <v>43848</v>
      </c>
      <c r="C31" s="42" t="s">
        <v>22</v>
      </c>
      <c r="D31" s="28"/>
      <c r="E31" s="28"/>
      <c r="F31" s="28"/>
      <c r="G31" s="34"/>
      <c r="H31" s="28"/>
      <c r="I31" s="28"/>
      <c r="J31" s="28"/>
      <c r="K31" s="28"/>
      <c r="L31" s="29"/>
      <c r="M31" s="29"/>
      <c r="N31" s="29"/>
      <c r="O31" s="29"/>
      <c r="P31" s="66"/>
      <c r="Q31" s="71"/>
      <c r="R31" s="71"/>
    </row>
    <row r="32" spans="1:19" x14ac:dyDescent="0.25">
      <c r="A32" s="1"/>
      <c r="B32" s="139">
        <v>43849</v>
      </c>
      <c r="C32" s="12" t="s">
        <v>6</v>
      </c>
      <c r="D32" s="35">
        <v>0.3215277777777778</v>
      </c>
      <c r="E32" s="35">
        <v>0.47222222222222227</v>
      </c>
      <c r="F32" s="35">
        <v>0.48680555555555555</v>
      </c>
      <c r="G32" s="30">
        <f t="shared" ref="G32:G41" si="10">F32-E32</f>
        <v>1.4583333333333282E-2</v>
      </c>
      <c r="H32" s="13">
        <f t="shared" ref="H32:H35" si="11">IF(G32&gt;$I$6,G32-$I$6)</f>
        <v>6.9444444444439341E-4</v>
      </c>
      <c r="I32" s="35"/>
      <c r="J32" s="35"/>
      <c r="K32" s="35">
        <f t="shared" si="0"/>
        <v>0</v>
      </c>
      <c r="L32" s="32">
        <v>0.65555555555555556</v>
      </c>
      <c r="M32" s="32">
        <f>(L32-D32)-H32-K32</f>
        <v>0.33333333333333337</v>
      </c>
      <c r="N32" s="23">
        <f>M32-$D$6</f>
        <v>1.4583333333333337E-2</v>
      </c>
      <c r="O32" s="33">
        <f t="shared" ref="O32:O41" si="12">O31+N32</f>
        <v>1.4583333333333337E-2</v>
      </c>
      <c r="P32" s="67">
        <f>N32</f>
        <v>1.4583333333333337E-2</v>
      </c>
      <c r="Q32" s="87">
        <f>M32</f>
        <v>0.33333333333333337</v>
      </c>
      <c r="R32" s="71"/>
    </row>
    <row r="33" spans="1:21" x14ac:dyDescent="0.25">
      <c r="A33" s="1"/>
      <c r="B33" s="139">
        <v>43850</v>
      </c>
      <c r="C33" s="12" t="s">
        <v>7</v>
      </c>
      <c r="D33" s="35">
        <v>0.31944444444444448</v>
      </c>
      <c r="E33" s="35">
        <v>0.4680555555555555</v>
      </c>
      <c r="F33" s="35">
        <v>0.48680555555555555</v>
      </c>
      <c r="G33" s="30">
        <f t="shared" si="10"/>
        <v>1.8750000000000044E-2</v>
      </c>
      <c r="H33" s="13">
        <f t="shared" si="11"/>
        <v>4.8611111111111563E-3</v>
      </c>
      <c r="I33" s="35"/>
      <c r="J33" s="35"/>
      <c r="K33" s="35">
        <f t="shared" si="0"/>
        <v>0</v>
      </c>
      <c r="L33" s="32">
        <v>0.65972222222222221</v>
      </c>
      <c r="M33" s="32">
        <f>(L33-D33)-H33-K33</f>
        <v>0.33541666666666659</v>
      </c>
      <c r="N33" s="23">
        <f>M33-$D$6</f>
        <v>1.6666666666666552E-2</v>
      </c>
      <c r="O33" s="33">
        <f t="shared" si="12"/>
        <v>3.1249999999999889E-2</v>
      </c>
      <c r="P33" s="67">
        <f t="shared" ref="P33:P41" si="13">P32+N33</f>
        <v>3.1249999999999889E-2</v>
      </c>
      <c r="Q33" s="87">
        <f>M32+M33</f>
        <v>0.66874999999999996</v>
      </c>
      <c r="R33" s="71"/>
    </row>
    <row r="34" spans="1:21" x14ac:dyDescent="0.25">
      <c r="A34" s="1"/>
      <c r="B34" s="139">
        <v>43851</v>
      </c>
      <c r="C34" s="12" t="s">
        <v>23</v>
      </c>
      <c r="D34" s="35">
        <v>0.31944444444444448</v>
      </c>
      <c r="E34" s="35">
        <v>0.46249999999999997</v>
      </c>
      <c r="F34" s="35">
        <v>0.48125000000000001</v>
      </c>
      <c r="G34" s="30">
        <f t="shared" si="10"/>
        <v>1.8750000000000044E-2</v>
      </c>
      <c r="H34" s="13">
        <f t="shared" si="11"/>
        <v>4.8611111111111563E-3</v>
      </c>
      <c r="I34" s="35"/>
      <c r="J34" s="35"/>
      <c r="K34" s="35">
        <f t="shared" si="0"/>
        <v>0</v>
      </c>
      <c r="L34" s="32">
        <v>0.66875000000000007</v>
      </c>
      <c r="M34" s="32">
        <f>(L34-D34)-H34-K34</f>
        <v>0.34444444444444444</v>
      </c>
      <c r="N34" s="23">
        <f>M34-$D$6</f>
        <v>2.5694444444444409E-2</v>
      </c>
      <c r="O34" s="33">
        <f t="shared" si="12"/>
        <v>5.6944444444444298E-2</v>
      </c>
      <c r="P34" s="67">
        <f t="shared" si="13"/>
        <v>5.6944444444444298E-2</v>
      </c>
      <c r="Q34" s="87">
        <f>Q33+M34</f>
        <v>1.0131944444444443</v>
      </c>
      <c r="R34" s="71"/>
    </row>
    <row r="35" spans="1:21" x14ac:dyDescent="0.25">
      <c r="A35" s="1"/>
      <c r="B35" s="139">
        <v>43852</v>
      </c>
      <c r="C35" s="47" t="s">
        <v>8</v>
      </c>
      <c r="D35" s="137">
        <v>0.31944444444444448</v>
      </c>
      <c r="E35" s="35">
        <v>0.44861111111111113</v>
      </c>
      <c r="F35" s="35">
        <v>0.46666666666666662</v>
      </c>
      <c r="G35" s="30">
        <f t="shared" si="10"/>
        <v>1.8055555555555491E-2</v>
      </c>
      <c r="H35" s="13">
        <f t="shared" si="11"/>
        <v>4.1666666666666033E-3</v>
      </c>
      <c r="I35" s="35"/>
      <c r="J35" s="35"/>
      <c r="K35" s="35">
        <f t="shared" si="0"/>
        <v>0</v>
      </c>
      <c r="L35" s="32">
        <v>0.68402777777777779</v>
      </c>
      <c r="M35" s="32">
        <f>(L35-D35)-H35-K35</f>
        <v>0.36041666666666672</v>
      </c>
      <c r="N35" s="23">
        <f>M35-$D$6</f>
        <v>4.1666666666666685E-2</v>
      </c>
      <c r="O35" s="33">
        <f t="shared" si="12"/>
        <v>9.8611111111110983E-2</v>
      </c>
      <c r="P35" s="67">
        <f t="shared" si="13"/>
        <v>9.8611111111110983E-2</v>
      </c>
      <c r="Q35" s="87">
        <f>Q34+M35</f>
        <v>1.3736111111111109</v>
      </c>
      <c r="R35" s="71"/>
    </row>
    <row r="36" spans="1:21" x14ac:dyDescent="0.25">
      <c r="A36" s="1"/>
      <c r="B36" s="139">
        <v>43853</v>
      </c>
      <c r="C36" s="47" t="s">
        <v>9</v>
      </c>
      <c r="D36" s="35">
        <v>0.30902777777777779</v>
      </c>
      <c r="E36" s="35">
        <v>0.43194444444444446</v>
      </c>
      <c r="F36" s="35">
        <v>0.44930555555555557</v>
      </c>
      <c r="G36" s="30">
        <f>F36-E36</f>
        <v>1.7361111111111105E-2</v>
      </c>
      <c r="H36" s="13">
        <f>IF(G36&gt;$I$6,G36-$I$6)</f>
        <v>3.4722222222222168E-3</v>
      </c>
      <c r="I36" s="35"/>
      <c r="J36" s="36"/>
      <c r="K36" s="35">
        <f t="shared" si="0"/>
        <v>0</v>
      </c>
      <c r="L36" s="32">
        <v>0.58333333333333337</v>
      </c>
      <c r="M36" s="32">
        <f>(L36-D36)-H36-K36</f>
        <v>0.27083333333333337</v>
      </c>
      <c r="N36" s="23">
        <f>M36-$D$6</f>
        <v>-4.7916666666666663E-2</v>
      </c>
      <c r="O36" s="33">
        <f t="shared" ref="O36" si="14">O35+N36</f>
        <v>5.069444444444432E-2</v>
      </c>
      <c r="P36" s="67">
        <f t="shared" si="13"/>
        <v>5.069444444444432E-2</v>
      </c>
      <c r="Q36" s="87">
        <f>Q35+M36</f>
        <v>1.6444444444444444</v>
      </c>
      <c r="R36" s="72">
        <f t="shared" si="3"/>
        <v>0.3288888888888889</v>
      </c>
    </row>
    <row r="37" spans="1:21" x14ac:dyDescent="0.25">
      <c r="A37" s="1"/>
      <c r="B37" s="139">
        <v>43854</v>
      </c>
      <c r="C37" s="48" t="s">
        <v>21</v>
      </c>
      <c r="D37" s="28"/>
      <c r="E37" s="28"/>
      <c r="F37" s="28"/>
      <c r="G37" s="34"/>
      <c r="H37" s="25"/>
      <c r="I37" s="28"/>
      <c r="J37" s="28"/>
      <c r="K37" s="28"/>
      <c r="L37" s="29"/>
      <c r="M37" s="29"/>
      <c r="N37" s="29"/>
      <c r="O37" s="29"/>
      <c r="P37" s="66"/>
      <c r="Q37" s="71"/>
      <c r="R37" s="71"/>
    </row>
    <row r="38" spans="1:21" x14ac:dyDescent="0.25">
      <c r="A38" s="1"/>
      <c r="B38" s="139">
        <v>43855</v>
      </c>
      <c r="C38" s="48" t="s">
        <v>22</v>
      </c>
      <c r="D38" s="28"/>
      <c r="E38" s="28"/>
      <c r="F38" s="28"/>
      <c r="G38" s="34"/>
      <c r="H38" s="28"/>
      <c r="I38" s="28"/>
      <c r="J38" s="28"/>
      <c r="K38" s="28"/>
      <c r="L38" s="29"/>
      <c r="M38" s="29"/>
      <c r="N38" s="29"/>
      <c r="O38" s="29"/>
      <c r="P38" s="66"/>
      <c r="Q38" s="71"/>
      <c r="R38" s="71"/>
    </row>
    <row r="39" spans="1:21" x14ac:dyDescent="0.25">
      <c r="A39" s="1"/>
      <c r="B39" s="139">
        <v>43856</v>
      </c>
      <c r="C39" s="47" t="s">
        <v>6</v>
      </c>
      <c r="D39" s="35">
        <v>0.3263888888888889</v>
      </c>
      <c r="E39" s="35">
        <v>0.45208333333333334</v>
      </c>
      <c r="F39" s="35">
        <v>0.46666666666666662</v>
      </c>
      <c r="G39" s="30">
        <f t="shared" si="10"/>
        <v>1.4583333333333282E-2</v>
      </c>
      <c r="H39" s="13">
        <f t="shared" ref="H39:H85" si="15">IF(G39&gt;$I$6,G39-$I$6)</f>
        <v>6.9444444444439341E-4</v>
      </c>
      <c r="I39" s="35"/>
      <c r="J39" s="35"/>
      <c r="K39" s="35">
        <f t="shared" si="0"/>
        <v>0</v>
      </c>
      <c r="L39" s="32">
        <v>0.67708333333333337</v>
      </c>
      <c r="M39" s="32">
        <f>(L39-D39)-H39-K39</f>
        <v>0.35000000000000009</v>
      </c>
      <c r="N39" s="23">
        <f>M39-$D$6</f>
        <v>3.1250000000000056E-2</v>
      </c>
      <c r="O39" s="33">
        <f t="shared" si="12"/>
        <v>3.1250000000000056E-2</v>
      </c>
      <c r="P39" s="67">
        <f>N39</f>
        <v>3.1250000000000056E-2</v>
      </c>
      <c r="Q39" s="87">
        <f>M39</f>
        <v>0.35000000000000009</v>
      </c>
      <c r="R39" s="71"/>
    </row>
    <row r="40" spans="1:21" x14ac:dyDescent="0.25">
      <c r="A40" s="1"/>
      <c r="B40" s="139">
        <v>43857</v>
      </c>
      <c r="C40" s="47" t="s">
        <v>7</v>
      </c>
      <c r="D40" s="35">
        <v>0.31875000000000003</v>
      </c>
      <c r="E40" s="35">
        <v>0.43472222222222223</v>
      </c>
      <c r="F40" s="35">
        <v>0.45277777777777778</v>
      </c>
      <c r="G40" s="30">
        <f t="shared" si="10"/>
        <v>1.8055555555555547E-2</v>
      </c>
      <c r="H40" s="13">
        <f t="shared" si="15"/>
        <v>4.1666666666666588E-3</v>
      </c>
      <c r="I40" s="35"/>
      <c r="J40" s="35"/>
      <c r="K40" s="35">
        <f t="shared" si="0"/>
        <v>0</v>
      </c>
      <c r="L40" s="32">
        <v>0.6694444444444444</v>
      </c>
      <c r="M40" s="32">
        <f>(L40-D40)-H40-K40</f>
        <v>0.34652777777777771</v>
      </c>
      <c r="N40" s="23">
        <f>M40-$D$6</f>
        <v>2.7777777777777679E-2</v>
      </c>
      <c r="O40" s="33">
        <f t="shared" si="12"/>
        <v>5.9027777777777735E-2</v>
      </c>
      <c r="P40" s="67">
        <f>P39+N40</f>
        <v>5.9027777777777735E-2</v>
      </c>
      <c r="Q40" s="87">
        <f>M39+M40</f>
        <v>0.69652777777777786</v>
      </c>
      <c r="R40" s="71"/>
    </row>
    <row r="41" spans="1:21" x14ac:dyDescent="0.25">
      <c r="A41" s="1"/>
      <c r="B41" s="139">
        <v>43858</v>
      </c>
      <c r="C41" s="47" t="s">
        <v>23</v>
      </c>
      <c r="D41" s="35">
        <v>0.31458333333333333</v>
      </c>
      <c r="E41" s="35">
        <v>0.46597222222222223</v>
      </c>
      <c r="F41" s="35">
        <v>0.4826388888888889</v>
      </c>
      <c r="G41" s="30">
        <f t="shared" si="10"/>
        <v>1.6666666666666663E-2</v>
      </c>
      <c r="H41" s="13">
        <f t="shared" si="15"/>
        <v>2.7777777777777748E-3</v>
      </c>
      <c r="I41" s="35"/>
      <c r="J41" s="35"/>
      <c r="K41" s="35">
        <f t="shared" si="0"/>
        <v>0</v>
      </c>
      <c r="L41" s="32">
        <v>0.64583333333333337</v>
      </c>
      <c r="M41" s="32">
        <f>(L41-D41)-H41-K41</f>
        <v>0.32847222222222228</v>
      </c>
      <c r="N41" s="23">
        <f>M41-$D$6</f>
        <v>9.7222222222222432E-3</v>
      </c>
      <c r="O41" s="33">
        <f t="shared" si="12"/>
        <v>6.8749999999999978E-2</v>
      </c>
      <c r="P41" s="67">
        <f t="shared" si="13"/>
        <v>6.8749999999999978E-2</v>
      </c>
      <c r="Q41" s="87">
        <f>Q40+M41</f>
        <v>1.0250000000000001</v>
      </c>
      <c r="R41" s="71"/>
    </row>
    <row r="42" spans="1:21" x14ac:dyDescent="0.25">
      <c r="B42" s="139">
        <v>43859</v>
      </c>
      <c r="C42" s="47" t="s">
        <v>8</v>
      </c>
      <c r="D42" s="35">
        <v>0.32222222222222224</v>
      </c>
      <c r="E42" s="35">
        <v>0.4465277777777778</v>
      </c>
      <c r="F42" s="35">
        <v>0.46736111111111112</v>
      </c>
      <c r="G42" s="30">
        <f t="shared" ref="G42:G43" si="16">F42-E42</f>
        <v>2.0833333333333315E-2</v>
      </c>
      <c r="H42" s="13">
        <f t="shared" si="15"/>
        <v>6.9444444444444267E-3</v>
      </c>
      <c r="I42" s="35"/>
      <c r="J42" s="35"/>
      <c r="K42" s="35">
        <f t="shared" si="0"/>
        <v>0</v>
      </c>
      <c r="L42" s="32">
        <v>0.65694444444444444</v>
      </c>
      <c r="M42" s="32">
        <f t="shared" ref="M42:M43" si="17">(L42-D42)-H42-K42</f>
        <v>0.32777777777777778</v>
      </c>
      <c r="N42" s="23">
        <f t="shared" ref="N42:N105" si="18">M42-$D$6</f>
        <v>9.0277777777777457E-3</v>
      </c>
      <c r="O42" s="33">
        <f>O41+N42</f>
        <v>7.7777777777777724E-2</v>
      </c>
      <c r="P42" s="67">
        <f>P41+N42</f>
        <v>7.7777777777777724E-2</v>
      </c>
      <c r="Q42" s="87">
        <f>Q41+M42</f>
        <v>1.3527777777777779</v>
      </c>
      <c r="R42" s="71"/>
      <c r="T42" s="166" t="s">
        <v>61</v>
      </c>
    </row>
    <row r="43" spans="1:21" x14ac:dyDescent="0.25">
      <c r="B43" s="139">
        <v>43860</v>
      </c>
      <c r="C43" s="47" t="s">
        <v>9</v>
      </c>
      <c r="D43" s="35">
        <v>0.31944444444444448</v>
      </c>
      <c r="E43" s="35">
        <v>0.43958333333333338</v>
      </c>
      <c r="F43" s="35">
        <v>0.45624999999999999</v>
      </c>
      <c r="G43" s="30">
        <f t="shared" si="16"/>
        <v>1.6666666666666607E-2</v>
      </c>
      <c r="H43" s="13">
        <f t="shared" si="15"/>
        <v>2.7777777777777193E-3</v>
      </c>
      <c r="I43" s="35"/>
      <c r="J43" s="36"/>
      <c r="K43" s="35">
        <f t="shared" si="0"/>
        <v>0</v>
      </c>
      <c r="L43" s="32">
        <v>0.5854166666666667</v>
      </c>
      <c r="M43" s="32">
        <f t="shared" si="17"/>
        <v>0.26319444444444451</v>
      </c>
      <c r="N43" s="23">
        <f t="shared" si="18"/>
        <v>-5.5555555555555525E-2</v>
      </c>
      <c r="O43" s="33">
        <f t="shared" ref="O43" si="19">O42+N43</f>
        <v>2.2222222222222199E-2</v>
      </c>
      <c r="P43" s="67">
        <f>P42+N43</f>
        <v>2.2222222222222199E-2</v>
      </c>
      <c r="Q43" s="87">
        <f>Q42+M43</f>
        <v>1.6159722222222224</v>
      </c>
      <c r="R43" s="72">
        <f t="shared" ref="R43:R64" si="20">Q43/5</f>
        <v>0.32319444444444445</v>
      </c>
      <c r="S43" s="164"/>
      <c r="T43" s="165">
        <f>SUM(M13:M43)</f>
        <v>7.4749999999999988</v>
      </c>
      <c r="U43" s="167">
        <f>T43/18</f>
        <v>0.41527777777777769</v>
      </c>
    </row>
    <row r="44" spans="1:21" x14ac:dyDescent="0.25">
      <c r="B44" s="139">
        <v>43861</v>
      </c>
      <c r="C44" s="48" t="s">
        <v>21</v>
      </c>
      <c r="D44" s="43"/>
      <c r="E44" s="43"/>
      <c r="F44" s="43"/>
      <c r="G44" s="34"/>
      <c r="H44" s="25"/>
      <c r="I44" s="28"/>
      <c r="J44" s="28"/>
      <c r="K44" s="28"/>
      <c r="L44" s="27"/>
      <c r="M44" s="27"/>
      <c r="N44" s="44"/>
      <c r="O44" s="26"/>
      <c r="P44" s="65"/>
      <c r="Q44" s="71"/>
      <c r="R44" s="71"/>
    </row>
    <row r="45" spans="1:21" x14ac:dyDescent="0.25">
      <c r="B45" s="139">
        <v>43862</v>
      </c>
      <c r="C45" s="48" t="s">
        <v>22</v>
      </c>
      <c r="D45" s="43"/>
      <c r="E45" s="43"/>
      <c r="F45" s="43"/>
      <c r="G45" s="34"/>
      <c r="H45" s="28"/>
      <c r="I45" s="28"/>
      <c r="J45" s="28"/>
      <c r="K45" s="28"/>
      <c r="L45" s="27"/>
      <c r="M45" s="27"/>
      <c r="N45" s="44"/>
      <c r="O45" s="26"/>
      <c r="P45" s="65"/>
      <c r="Q45" s="71"/>
      <c r="R45" s="71"/>
    </row>
    <row r="46" spans="1:21" x14ac:dyDescent="0.25">
      <c r="B46" s="139">
        <v>43863</v>
      </c>
      <c r="C46" s="47" t="s">
        <v>6</v>
      </c>
      <c r="D46" s="35">
        <v>0.31944444444444448</v>
      </c>
      <c r="E46" s="35">
        <v>0.44097222222222227</v>
      </c>
      <c r="F46" s="35">
        <v>0.45694444444444443</v>
      </c>
      <c r="G46" s="30">
        <f t="shared" ref="G46:G102" si="21">F46-E46</f>
        <v>1.5972222222222165E-2</v>
      </c>
      <c r="H46" s="13">
        <f t="shared" si="15"/>
        <v>2.0833333333332774E-3</v>
      </c>
      <c r="I46" s="36"/>
      <c r="J46" s="36"/>
      <c r="K46" s="35">
        <f t="shared" si="0"/>
        <v>0</v>
      </c>
      <c r="L46" s="32">
        <v>0.65138888888888891</v>
      </c>
      <c r="M46" s="32">
        <f t="shared" ref="M46:M102" si="22">(L46-D46)-H46-K46</f>
        <v>0.32986111111111116</v>
      </c>
      <c r="N46" s="23">
        <f t="shared" si="18"/>
        <v>1.1111111111111127E-2</v>
      </c>
      <c r="O46" s="33">
        <f t="shared" ref="O46:O99" si="23">O45+N46</f>
        <v>1.1111111111111127E-2</v>
      </c>
      <c r="P46" s="67">
        <f>P45+N46</f>
        <v>1.1111111111111127E-2</v>
      </c>
      <c r="Q46" s="87">
        <f>M46</f>
        <v>0.32986111111111116</v>
      </c>
      <c r="R46" s="71"/>
    </row>
    <row r="47" spans="1:21" x14ac:dyDescent="0.25">
      <c r="B47" s="139">
        <v>43864</v>
      </c>
      <c r="C47" s="47" t="s">
        <v>7</v>
      </c>
      <c r="D47" s="35">
        <v>0.30902777777777779</v>
      </c>
      <c r="E47" s="35">
        <v>0.45</v>
      </c>
      <c r="F47" s="35">
        <v>0.46666666666666662</v>
      </c>
      <c r="G47" s="30">
        <f t="shared" si="21"/>
        <v>1.6666666666666607E-2</v>
      </c>
      <c r="H47" s="13">
        <f t="shared" si="15"/>
        <v>2.7777777777777193E-3</v>
      </c>
      <c r="I47" s="36"/>
      <c r="J47" s="36"/>
      <c r="K47" s="35">
        <f t="shared" si="0"/>
        <v>0</v>
      </c>
      <c r="L47" s="32">
        <v>0.65625</v>
      </c>
      <c r="M47" s="32">
        <f t="shared" si="22"/>
        <v>0.3444444444444445</v>
      </c>
      <c r="N47" s="23">
        <f t="shared" si="18"/>
        <v>2.5694444444444464E-2</v>
      </c>
      <c r="O47" s="33">
        <f t="shared" si="23"/>
        <v>3.6805555555555591E-2</v>
      </c>
      <c r="P47" s="67">
        <f>P46+N47</f>
        <v>3.6805555555555591E-2</v>
      </c>
      <c r="Q47" s="87">
        <f>M46+M47</f>
        <v>0.67430555555555571</v>
      </c>
      <c r="R47" s="71"/>
    </row>
    <row r="48" spans="1:21" x14ac:dyDescent="0.25">
      <c r="B48" s="139">
        <v>43865</v>
      </c>
      <c r="C48" s="47" t="s">
        <v>23</v>
      </c>
      <c r="D48" s="35">
        <v>0.31666666666666665</v>
      </c>
      <c r="E48" s="35">
        <v>0.4368055555555555</v>
      </c>
      <c r="F48" s="35">
        <v>0.45208333333333334</v>
      </c>
      <c r="G48" s="30">
        <f t="shared" si="21"/>
        <v>1.5277777777777835E-2</v>
      </c>
      <c r="H48" s="13">
        <f t="shared" si="15"/>
        <v>1.3888888888889464E-3</v>
      </c>
      <c r="I48" s="35">
        <v>0.58124999999999993</v>
      </c>
      <c r="J48" s="35">
        <v>0.62569444444444444</v>
      </c>
      <c r="K48" s="35">
        <f t="shared" si="0"/>
        <v>4.4444444444444509E-2</v>
      </c>
      <c r="L48" s="32">
        <v>0.70138888888888884</v>
      </c>
      <c r="M48" s="32">
        <f t="shared" si="22"/>
        <v>0.33888888888888874</v>
      </c>
      <c r="N48" s="23">
        <f t="shared" si="18"/>
        <v>2.0138888888888706E-2</v>
      </c>
      <c r="O48" s="33">
        <f t="shared" si="23"/>
        <v>5.6944444444444298E-2</v>
      </c>
      <c r="P48" s="67">
        <f>P47+N48</f>
        <v>5.6944444444444298E-2</v>
      </c>
      <c r="Q48" s="87">
        <f>Q47+M48</f>
        <v>1.0131944444444445</v>
      </c>
      <c r="R48" s="71"/>
    </row>
    <row r="49" spans="2:19" x14ac:dyDescent="0.25">
      <c r="B49" s="139">
        <v>43866</v>
      </c>
      <c r="C49" s="47" t="s">
        <v>8</v>
      </c>
      <c r="D49" s="35">
        <v>0.32013888888888892</v>
      </c>
      <c r="E49" s="35">
        <v>0.47013888888888888</v>
      </c>
      <c r="F49" s="35">
        <v>0.49027777777777781</v>
      </c>
      <c r="G49" s="30">
        <f t="shared" si="21"/>
        <v>2.0138888888888928E-2</v>
      </c>
      <c r="H49" s="13">
        <f t="shared" si="15"/>
        <v>6.2500000000000402E-3</v>
      </c>
      <c r="I49" s="36"/>
      <c r="J49" s="36"/>
      <c r="K49" s="35">
        <f t="shared" ref="K49:K102" si="24">J49-I49</f>
        <v>0</v>
      </c>
      <c r="L49" s="32">
        <v>0.64513888888888882</v>
      </c>
      <c r="M49" s="32">
        <f t="shared" si="22"/>
        <v>0.31874999999999987</v>
      </c>
      <c r="N49" s="23">
        <f t="shared" si="18"/>
        <v>0</v>
      </c>
      <c r="O49" s="33">
        <f t="shared" si="23"/>
        <v>5.6944444444444298E-2</v>
      </c>
      <c r="P49" s="67">
        <f>P48+N49</f>
        <v>5.6944444444444298E-2</v>
      </c>
      <c r="Q49" s="87">
        <f>Q48+M49</f>
        <v>1.3319444444444444</v>
      </c>
      <c r="R49" s="71"/>
    </row>
    <row r="50" spans="2:19" x14ac:dyDescent="0.25">
      <c r="B50" s="139">
        <v>43867</v>
      </c>
      <c r="C50" s="47" t="s">
        <v>9</v>
      </c>
      <c r="D50" s="35">
        <v>0.31180555555555556</v>
      </c>
      <c r="E50" s="35">
        <v>0.44444444444444442</v>
      </c>
      <c r="F50" s="35">
        <v>0.4604166666666667</v>
      </c>
      <c r="G50" s="30">
        <f t="shared" si="21"/>
        <v>1.5972222222222276E-2</v>
      </c>
      <c r="H50" s="13">
        <f t="shared" si="15"/>
        <v>2.0833333333333884E-3</v>
      </c>
      <c r="I50" s="36"/>
      <c r="J50" s="36"/>
      <c r="K50" s="35">
        <f t="shared" si="24"/>
        <v>0</v>
      </c>
      <c r="L50" s="32">
        <v>0.58958333333333335</v>
      </c>
      <c r="M50" s="32">
        <f t="shared" si="22"/>
        <v>0.27569444444444441</v>
      </c>
      <c r="N50" s="23">
        <f>M50-$D$6</f>
        <v>-4.3055555555555625E-2</v>
      </c>
      <c r="O50" s="33">
        <f>O49+N50</f>
        <v>1.3888888888888673E-2</v>
      </c>
      <c r="P50" s="67">
        <f>P49+N50</f>
        <v>1.3888888888888673E-2</v>
      </c>
      <c r="Q50" s="87">
        <f>Q49+M50</f>
        <v>1.6076388888888888</v>
      </c>
      <c r="R50" s="72">
        <f t="shared" ref="R50" si="25">Q50/5</f>
        <v>0.32152777777777775</v>
      </c>
    </row>
    <row r="51" spans="2:19" x14ac:dyDescent="0.25">
      <c r="B51" s="139">
        <v>43868</v>
      </c>
      <c r="C51" s="48" t="s">
        <v>21</v>
      </c>
      <c r="D51" s="43"/>
      <c r="E51" s="43"/>
      <c r="F51" s="43"/>
      <c r="G51" s="34"/>
      <c r="H51" s="25"/>
      <c r="I51" s="28"/>
      <c r="J51" s="28"/>
      <c r="K51" s="43"/>
      <c r="L51" s="27"/>
      <c r="M51" s="27"/>
      <c r="N51" s="44"/>
      <c r="O51" s="26"/>
      <c r="P51" s="65"/>
      <c r="Q51" s="71"/>
      <c r="R51" s="71"/>
    </row>
    <row r="52" spans="2:19" x14ac:dyDescent="0.25">
      <c r="B52" s="139">
        <v>43869</v>
      </c>
      <c r="C52" s="48" t="s">
        <v>22</v>
      </c>
      <c r="D52" s="43"/>
      <c r="E52" s="43"/>
      <c r="F52" s="43"/>
      <c r="G52" s="34"/>
      <c r="H52" s="28"/>
      <c r="I52" s="28"/>
      <c r="J52" s="28"/>
      <c r="K52" s="43"/>
      <c r="L52" s="27"/>
      <c r="M52" s="27"/>
      <c r="N52" s="44"/>
      <c r="O52" s="26"/>
      <c r="P52" s="65"/>
      <c r="Q52" s="71"/>
      <c r="R52" s="71"/>
    </row>
    <row r="53" spans="2:19" x14ac:dyDescent="0.25">
      <c r="B53" s="139">
        <v>43870</v>
      </c>
      <c r="C53" s="47" t="s">
        <v>6</v>
      </c>
      <c r="D53" s="35">
        <v>0.32291666666666669</v>
      </c>
      <c r="E53" s="35">
        <v>0.45833333333333331</v>
      </c>
      <c r="F53" s="35">
        <v>0.47638888888888892</v>
      </c>
      <c r="G53" s="30">
        <f t="shared" si="21"/>
        <v>1.8055555555555602E-2</v>
      </c>
      <c r="H53" s="13">
        <f t="shared" si="15"/>
        <v>4.1666666666667143E-3</v>
      </c>
      <c r="I53" s="36"/>
      <c r="J53" s="36"/>
      <c r="K53" s="35">
        <f t="shared" si="24"/>
        <v>0</v>
      </c>
      <c r="L53" s="32">
        <v>0.64861111111111114</v>
      </c>
      <c r="M53" s="32">
        <f t="shared" si="22"/>
        <v>0.32152777777777775</v>
      </c>
      <c r="N53" s="23">
        <f t="shared" si="18"/>
        <v>2.7777777777777124E-3</v>
      </c>
      <c r="O53" s="33">
        <f t="shared" si="23"/>
        <v>2.7777777777777124E-3</v>
      </c>
      <c r="P53" s="67">
        <f>P52+N53</f>
        <v>2.7777777777777124E-3</v>
      </c>
      <c r="Q53" s="87">
        <f>M53</f>
        <v>0.32152777777777775</v>
      </c>
      <c r="R53" s="71"/>
    </row>
    <row r="54" spans="2:19" x14ac:dyDescent="0.25">
      <c r="B54" s="139">
        <v>43871</v>
      </c>
      <c r="C54" s="47" t="s">
        <v>7</v>
      </c>
      <c r="D54" s="35">
        <v>0.31041666666666667</v>
      </c>
      <c r="E54" s="35">
        <v>0.47152777777777777</v>
      </c>
      <c r="F54" s="35">
        <v>0.48541666666666666</v>
      </c>
      <c r="G54" s="30">
        <f t="shared" si="21"/>
        <v>1.3888888888888895E-2</v>
      </c>
      <c r="H54" s="13" t="b">
        <f t="shared" si="15"/>
        <v>0</v>
      </c>
      <c r="I54" s="36"/>
      <c r="J54" s="36"/>
      <c r="K54" s="35">
        <f t="shared" si="24"/>
        <v>0</v>
      </c>
      <c r="L54" s="32">
        <v>0.6479166666666667</v>
      </c>
      <c r="M54" s="32">
        <f t="shared" si="22"/>
        <v>0.33750000000000002</v>
      </c>
      <c r="N54" s="23">
        <f t="shared" si="18"/>
        <v>1.8749999999999989E-2</v>
      </c>
      <c r="O54" s="33">
        <f t="shared" si="23"/>
        <v>2.1527777777777701E-2</v>
      </c>
      <c r="P54" s="67">
        <f>P53+N54</f>
        <v>2.1527777777777701E-2</v>
      </c>
      <c r="Q54" s="87">
        <f>M53+M54</f>
        <v>0.65902777777777777</v>
      </c>
      <c r="R54" s="71"/>
    </row>
    <row r="55" spans="2:19" x14ac:dyDescent="0.25">
      <c r="B55" s="139">
        <v>43872</v>
      </c>
      <c r="C55" s="47" t="s">
        <v>23</v>
      </c>
      <c r="D55" s="35">
        <v>0.31111111111111112</v>
      </c>
      <c r="E55" s="35">
        <v>0.44861111111111113</v>
      </c>
      <c r="F55" s="35">
        <v>0.46388888888888885</v>
      </c>
      <c r="G55" s="30">
        <f t="shared" si="21"/>
        <v>1.5277777777777724E-2</v>
      </c>
      <c r="H55" s="13">
        <f t="shared" si="15"/>
        <v>1.3888888888888354E-3</v>
      </c>
      <c r="I55" s="36"/>
      <c r="J55" s="36"/>
      <c r="K55" s="35">
        <f t="shared" si="24"/>
        <v>0</v>
      </c>
      <c r="L55" s="32">
        <v>0.64930555555555558</v>
      </c>
      <c r="M55" s="32">
        <f t="shared" si="22"/>
        <v>0.33680555555555564</v>
      </c>
      <c r="N55" s="23">
        <f t="shared" si="18"/>
        <v>1.8055555555555602E-2</v>
      </c>
      <c r="O55" s="33">
        <f t="shared" si="23"/>
        <v>3.9583333333333304E-2</v>
      </c>
      <c r="P55" s="67">
        <f>P54+N55</f>
        <v>3.9583333333333304E-2</v>
      </c>
      <c r="Q55" s="87">
        <f>Q54+M55</f>
        <v>0.99583333333333335</v>
      </c>
      <c r="R55" s="71"/>
    </row>
    <row r="56" spans="2:19" x14ac:dyDescent="0.25">
      <c r="B56" s="139">
        <v>43873</v>
      </c>
      <c r="C56" s="47" t="s">
        <v>8</v>
      </c>
      <c r="D56" s="35">
        <v>0.30833333333333335</v>
      </c>
      <c r="E56" s="35">
        <v>0.44305555555555554</v>
      </c>
      <c r="F56" s="35">
        <v>0.46249999999999997</v>
      </c>
      <c r="G56" s="30">
        <f t="shared" si="21"/>
        <v>1.9444444444444431E-2</v>
      </c>
      <c r="H56" s="13">
        <f t="shared" si="15"/>
        <v>5.5555555555555428E-3</v>
      </c>
      <c r="I56" s="35">
        <v>0.57291666666666663</v>
      </c>
      <c r="J56" s="35">
        <v>0.61527777777777781</v>
      </c>
      <c r="K56" s="35">
        <f t="shared" si="24"/>
        <v>4.2361111111111183E-2</v>
      </c>
      <c r="L56" s="32">
        <v>0.68819444444444444</v>
      </c>
      <c r="M56" s="32">
        <f t="shared" si="22"/>
        <v>0.33194444444444438</v>
      </c>
      <c r="N56" s="23">
        <f t="shared" si="18"/>
        <v>1.3194444444444342E-2</v>
      </c>
      <c r="O56" s="33">
        <f t="shared" si="23"/>
        <v>5.2777777777777646E-2</v>
      </c>
      <c r="P56" s="67">
        <f>P55+N56</f>
        <v>5.2777777777777646E-2</v>
      </c>
      <c r="Q56" s="87">
        <f>Q55+M56</f>
        <v>1.3277777777777777</v>
      </c>
      <c r="R56" s="71"/>
    </row>
    <row r="57" spans="2:19" x14ac:dyDescent="0.25">
      <c r="B57" s="139">
        <v>43874</v>
      </c>
      <c r="C57" s="47" t="s">
        <v>9</v>
      </c>
      <c r="D57" s="35">
        <v>0.31319444444444444</v>
      </c>
      <c r="E57" s="35">
        <v>0.43958333333333338</v>
      </c>
      <c r="F57" s="35">
        <v>0.45555555555555555</v>
      </c>
      <c r="G57" s="30">
        <f t="shared" si="21"/>
        <v>1.5972222222222165E-2</v>
      </c>
      <c r="H57" s="13">
        <f t="shared" si="15"/>
        <v>2.0833333333332774E-3</v>
      </c>
      <c r="I57" s="36"/>
      <c r="J57" s="36"/>
      <c r="K57" s="35">
        <f t="shared" si="24"/>
        <v>0</v>
      </c>
      <c r="L57" s="32">
        <v>0.5854166666666667</v>
      </c>
      <c r="M57" s="32">
        <f t="shared" si="22"/>
        <v>0.27013888888888898</v>
      </c>
      <c r="N57" s="23">
        <f t="shared" si="18"/>
        <v>-4.8611111111111049E-2</v>
      </c>
      <c r="O57" s="33">
        <f t="shared" si="23"/>
        <v>4.1666666666665964E-3</v>
      </c>
      <c r="P57" s="67">
        <f>P56+N57</f>
        <v>4.1666666666665964E-3</v>
      </c>
      <c r="Q57" s="87">
        <f>Q56+M57</f>
        <v>1.5979166666666667</v>
      </c>
      <c r="R57" s="72">
        <f t="shared" si="3"/>
        <v>0.31958333333333333</v>
      </c>
    </row>
    <row r="58" spans="2:19" x14ac:dyDescent="0.25">
      <c r="B58" s="139">
        <v>43875</v>
      </c>
      <c r="C58" s="48" t="s">
        <v>21</v>
      </c>
      <c r="D58" s="43"/>
      <c r="E58" s="43"/>
      <c r="F58" s="43"/>
      <c r="G58" s="34"/>
      <c r="H58" s="25"/>
      <c r="I58" s="28"/>
      <c r="J58" s="28"/>
      <c r="K58" s="43"/>
      <c r="L58" s="27"/>
      <c r="M58" s="27"/>
      <c r="N58" s="44"/>
      <c r="O58" s="26"/>
      <c r="P58" s="65"/>
      <c r="Q58" s="71"/>
      <c r="R58" s="71"/>
    </row>
    <row r="59" spans="2:19" x14ac:dyDescent="0.25">
      <c r="B59" s="139">
        <v>43876</v>
      </c>
      <c r="C59" s="48" t="s">
        <v>22</v>
      </c>
      <c r="D59" s="43"/>
      <c r="E59" s="43"/>
      <c r="F59" s="43"/>
      <c r="G59" s="34"/>
      <c r="H59" s="28"/>
      <c r="I59" s="28"/>
      <c r="J59" s="28"/>
      <c r="K59" s="43"/>
      <c r="L59" s="27"/>
      <c r="M59" s="27"/>
      <c r="N59" s="44"/>
      <c r="O59" s="26"/>
      <c r="P59" s="65"/>
      <c r="Q59" s="71"/>
      <c r="R59" s="71"/>
    </row>
    <row r="60" spans="2:19" x14ac:dyDescent="0.25">
      <c r="B60" s="139">
        <v>43877</v>
      </c>
      <c r="C60" s="47" t="s">
        <v>6</v>
      </c>
      <c r="D60" s="35">
        <v>0.31736111111111115</v>
      </c>
      <c r="E60" s="35">
        <v>0.44444444444444442</v>
      </c>
      <c r="F60" s="35">
        <v>0.46111111111111108</v>
      </c>
      <c r="G60" s="30">
        <f t="shared" si="21"/>
        <v>1.6666666666666663E-2</v>
      </c>
      <c r="H60" s="13">
        <f t="shared" si="15"/>
        <v>2.7777777777777748E-3</v>
      </c>
      <c r="I60" s="36"/>
      <c r="J60" s="36"/>
      <c r="K60" s="35">
        <f t="shared" si="24"/>
        <v>0</v>
      </c>
      <c r="L60" s="32">
        <v>0.64722222222222225</v>
      </c>
      <c r="M60" s="32">
        <f t="shared" si="22"/>
        <v>0.32708333333333334</v>
      </c>
      <c r="N60" s="23">
        <f t="shared" si="18"/>
        <v>8.3333333333333037E-3</v>
      </c>
      <c r="O60" s="33">
        <f t="shared" si="23"/>
        <v>8.3333333333333037E-3</v>
      </c>
      <c r="P60" s="67">
        <f>P59+N60</f>
        <v>8.3333333333333037E-3</v>
      </c>
      <c r="Q60" s="87">
        <f>M60</f>
        <v>0.32708333333333334</v>
      </c>
      <c r="R60" s="71"/>
    </row>
    <row r="61" spans="2:19" x14ac:dyDescent="0.25">
      <c r="B61" s="139">
        <v>43878</v>
      </c>
      <c r="C61" s="47" t="s">
        <v>7</v>
      </c>
      <c r="D61" s="35">
        <v>0.31736111111111115</v>
      </c>
      <c r="E61" s="35">
        <v>0.45555555555555555</v>
      </c>
      <c r="F61" s="35">
        <v>0.47222222222222227</v>
      </c>
      <c r="G61" s="30">
        <f t="shared" si="21"/>
        <v>1.6666666666666718E-2</v>
      </c>
      <c r="H61" s="13">
        <f t="shared" si="15"/>
        <v>2.7777777777778304E-3</v>
      </c>
      <c r="I61" s="36"/>
      <c r="J61" s="36"/>
      <c r="K61" s="35">
        <f t="shared" si="24"/>
        <v>0</v>
      </c>
      <c r="L61" s="32">
        <v>0.65347222222222223</v>
      </c>
      <c r="M61" s="32">
        <f t="shared" si="22"/>
        <v>0.33333333333333326</v>
      </c>
      <c r="N61" s="23">
        <f t="shared" si="18"/>
        <v>1.4583333333333226E-2</v>
      </c>
      <c r="O61" s="33">
        <f t="shared" si="23"/>
        <v>2.291666666666653E-2</v>
      </c>
      <c r="P61" s="67">
        <f>P60+N61</f>
        <v>2.291666666666653E-2</v>
      </c>
      <c r="Q61" s="87">
        <f>M60+M61</f>
        <v>0.66041666666666665</v>
      </c>
      <c r="R61" s="71"/>
    </row>
    <row r="62" spans="2:19" x14ac:dyDescent="0.25">
      <c r="B62" s="148">
        <v>43879</v>
      </c>
      <c r="C62" s="149" t="s">
        <v>23</v>
      </c>
      <c r="D62" s="150">
        <v>0.3125</v>
      </c>
      <c r="E62" s="150"/>
      <c r="F62" s="150"/>
      <c r="G62" s="151">
        <f t="shared" si="21"/>
        <v>0</v>
      </c>
      <c r="H62" s="152" t="b">
        <f t="shared" si="15"/>
        <v>0</v>
      </c>
      <c r="I62" s="156"/>
      <c r="J62" s="156"/>
      <c r="K62" s="150">
        <f t="shared" si="24"/>
        <v>0</v>
      </c>
      <c r="L62" s="153">
        <v>0.6430555555555556</v>
      </c>
      <c r="M62" s="153">
        <f t="shared" si="22"/>
        <v>0.3305555555555556</v>
      </c>
      <c r="N62" s="154">
        <f t="shared" si="18"/>
        <v>1.1805555555555569E-2</v>
      </c>
      <c r="O62" s="155">
        <f t="shared" si="23"/>
        <v>3.4722222222222099E-2</v>
      </c>
      <c r="P62" s="67">
        <f>P61+N62</f>
        <v>3.4722222222222099E-2</v>
      </c>
      <c r="Q62" s="87">
        <f>Q61+M62</f>
        <v>0.99097222222222225</v>
      </c>
      <c r="R62" s="71"/>
      <c r="S62" t="s">
        <v>63</v>
      </c>
    </row>
    <row r="63" spans="2:19" x14ac:dyDescent="0.25">
      <c r="B63" s="148">
        <v>43880</v>
      </c>
      <c r="C63" s="149" t="s">
        <v>8</v>
      </c>
      <c r="D63" s="150">
        <v>0.3125</v>
      </c>
      <c r="E63" s="150"/>
      <c r="F63" s="150"/>
      <c r="G63" s="151">
        <f t="shared" si="21"/>
        <v>0</v>
      </c>
      <c r="H63" s="152" t="b">
        <f t="shared" si="15"/>
        <v>0</v>
      </c>
      <c r="I63" s="156"/>
      <c r="J63" s="156"/>
      <c r="K63" s="150">
        <f t="shared" si="24"/>
        <v>0</v>
      </c>
      <c r="L63" s="153">
        <v>0.6430555555555556</v>
      </c>
      <c r="M63" s="153">
        <f t="shared" si="22"/>
        <v>0.3305555555555556</v>
      </c>
      <c r="N63" s="154">
        <f t="shared" si="18"/>
        <v>1.1805555555555569E-2</v>
      </c>
      <c r="O63" s="155">
        <f t="shared" si="23"/>
        <v>4.6527777777777668E-2</v>
      </c>
      <c r="P63" s="67">
        <f>P62+N63</f>
        <v>4.6527777777777668E-2</v>
      </c>
      <c r="Q63" s="87">
        <f>Q62+M63</f>
        <v>1.3215277777777779</v>
      </c>
      <c r="R63" s="71"/>
    </row>
    <row r="64" spans="2:19" x14ac:dyDescent="0.25">
      <c r="B64" s="148">
        <v>43881</v>
      </c>
      <c r="C64" s="149" t="s">
        <v>9</v>
      </c>
      <c r="D64" s="150">
        <v>0.3125</v>
      </c>
      <c r="E64" s="150"/>
      <c r="F64" s="150"/>
      <c r="G64" s="151">
        <f t="shared" si="21"/>
        <v>0</v>
      </c>
      <c r="H64" s="152" t="b">
        <f t="shared" si="15"/>
        <v>0</v>
      </c>
      <c r="I64" s="156"/>
      <c r="J64" s="156"/>
      <c r="K64" s="150">
        <f t="shared" si="24"/>
        <v>0</v>
      </c>
      <c r="L64" s="153">
        <v>0.58333333333333337</v>
      </c>
      <c r="M64" s="153">
        <f t="shared" si="22"/>
        <v>0.27083333333333337</v>
      </c>
      <c r="N64" s="154">
        <f t="shared" si="18"/>
        <v>-4.7916666666666663E-2</v>
      </c>
      <c r="O64" s="155">
        <f t="shared" si="23"/>
        <v>-1.388888888888995E-3</v>
      </c>
      <c r="P64" s="67">
        <f>P63+N64</f>
        <v>-1.388888888888995E-3</v>
      </c>
      <c r="Q64" s="87">
        <f>Q63+M64</f>
        <v>1.5923611111111113</v>
      </c>
      <c r="R64" s="72">
        <f t="shared" si="20"/>
        <v>0.31847222222222227</v>
      </c>
    </row>
    <row r="65" spans="2:21" x14ac:dyDescent="0.25">
      <c r="B65" s="139">
        <v>43882</v>
      </c>
      <c r="C65" s="48" t="s">
        <v>21</v>
      </c>
      <c r="D65" s="43"/>
      <c r="E65" s="43"/>
      <c r="F65" s="43"/>
      <c r="G65" s="34"/>
      <c r="H65" s="25"/>
      <c r="I65" s="28"/>
      <c r="J65" s="28"/>
      <c r="K65" s="43"/>
      <c r="L65" s="27"/>
      <c r="M65" s="27"/>
      <c r="N65" s="44"/>
      <c r="O65" s="26"/>
      <c r="P65" s="65"/>
      <c r="Q65" s="71"/>
      <c r="R65" s="71"/>
    </row>
    <row r="66" spans="2:21" x14ac:dyDescent="0.25">
      <c r="B66" s="139">
        <v>43883</v>
      </c>
      <c r="C66" s="48" t="s">
        <v>22</v>
      </c>
      <c r="D66" s="43"/>
      <c r="E66" s="43"/>
      <c r="F66" s="43"/>
      <c r="G66" s="34"/>
      <c r="H66" s="28"/>
      <c r="I66" s="28"/>
      <c r="J66" s="28"/>
      <c r="K66" s="43"/>
      <c r="L66" s="27"/>
      <c r="M66" s="27"/>
      <c r="N66" s="44"/>
      <c r="O66" s="26"/>
      <c r="P66" s="65"/>
      <c r="Q66" s="71"/>
      <c r="R66" s="71"/>
    </row>
    <row r="67" spans="2:21" x14ac:dyDescent="0.25">
      <c r="B67" s="139">
        <v>43884</v>
      </c>
      <c r="C67" s="47" t="s">
        <v>6</v>
      </c>
      <c r="D67" s="35">
        <v>0.31736111111111115</v>
      </c>
      <c r="E67" s="35">
        <v>0.45416666666666666</v>
      </c>
      <c r="F67" s="35">
        <v>0.47083333333333338</v>
      </c>
      <c r="G67" s="30">
        <f t="shared" si="21"/>
        <v>1.6666666666666718E-2</v>
      </c>
      <c r="H67" s="13">
        <f t="shared" si="15"/>
        <v>2.7777777777778304E-3</v>
      </c>
      <c r="I67" s="35">
        <v>0.62638888888888888</v>
      </c>
      <c r="J67" s="35">
        <v>0.69861111111111107</v>
      </c>
      <c r="K67" s="35">
        <f t="shared" si="24"/>
        <v>7.2222222222222188E-2</v>
      </c>
      <c r="L67" s="32">
        <v>0.75347222222222221</v>
      </c>
      <c r="M67" s="32">
        <f t="shared" si="22"/>
        <v>0.36111111111111105</v>
      </c>
      <c r="N67" s="23">
        <f t="shared" si="18"/>
        <v>4.2361111111111016E-2</v>
      </c>
      <c r="O67" s="33">
        <f t="shared" si="23"/>
        <v>4.2361111111111016E-2</v>
      </c>
      <c r="P67" s="67">
        <f>P66+N67</f>
        <v>4.2361111111111016E-2</v>
      </c>
      <c r="Q67" s="87">
        <f>M67</f>
        <v>0.36111111111111105</v>
      </c>
      <c r="R67" s="71"/>
    </row>
    <row r="68" spans="2:21" x14ac:dyDescent="0.25">
      <c r="B68" s="139">
        <v>43885</v>
      </c>
      <c r="C68" s="47" t="s">
        <v>7</v>
      </c>
      <c r="D68" s="35">
        <v>0.36388888888888887</v>
      </c>
      <c r="E68" s="35"/>
      <c r="F68" s="35"/>
      <c r="G68" s="30">
        <f t="shared" si="21"/>
        <v>0</v>
      </c>
      <c r="H68" s="13" t="b">
        <f t="shared" si="15"/>
        <v>0</v>
      </c>
      <c r="I68" s="35">
        <v>0.64166666666666672</v>
      </c>
      <c r="J68" s="35">
        <v>0.7055555555555556</v>
      </c>
      <c r="K68" s="35">
        <f t="shared" si="24"/>
        <v>6.3888888888888884E-2</v>
      </c>
      <c r="L68" s="32">
        <v>0.75069444444444444</v>
      </c>
      <c r="M68" s="32">
        <f t="shared" si="22"/>
        <v>0.32291666666666669</v>
      </c>
      <c r="N68" s="23">
        <f t="shared" si="18"/>
        <v>4.1666666666666519E-3</v>
      </c>
      <c r="O68" s="33">
        <f>O67+N68</f>
        <v>4.6527777777777668E-2</v>
      </c>
      <c r="P68" s="67">
        <f>P67+N68</f>
        <v>4.6527777777777668E-2</v>
      </c>
      <c r="Q68" s="87">
        <f>M67+M68</f>
        <v>0.68402777777777768</v>
      </c>
      <c r="R68" s="71"/>
    </row>
    <row r="69" spans="2:21" x14ac:dyDescent="0.25">
      <c r="B69" s="139">
        <v>43886</v>
      </c>
      <c r="C69" s="47" t="s">
        <v>23</v>
      </c>
      <c r="D69" s="35">
        <v>0.33819444444444446</v>
      </c>
      <c r="E69" s="35">
        <v>0.44097222222222227</v>
      </c>
      <c r="F69" s="35">
        <v>0.45555555555555555</v>
      </c>
      <c r="G69" s="30">
        <f t="shared" si="21"/>
        <v>1.4583333333333282E-2</v>
      </c>
      <c r="H69" s="13">
        <f t="shared" si="15"/>
        <v>6.9444444444439341E-4</v>
      </c>
      <c r="I69" s="35">
        <v>0.62986111111111109</v>
      </c>
      <c r="J69" s="35">
        <v>0.69861111111111107</v>
      </c>
      <c r="K69" s="35">
        <f t="shared" si="24"/>
        <v>6.8749999999999978E-2</v>
      </c>
      <c r="L69" s="32">
        <v>0.75208333333333333</v>
      </c>
      <c r="M69" s="32">
        <f t="shared" si="22"/>
        <v>0.3444444444444445</v>
      </c>
      <c r="N69" s="23">
        <f>M69-$D$6</f>
        <v>2.5694444444444464E-2</v>
      </c>
      <c r="O69" s="33">
        <f t="shared" si="23"/>
        <v>7.2222222222222132E-2</v>
      </c>
      <c r="P69" s="67">
        <f>P68+N69</f>
        <v>7.2222222222222132E-2</v>
      </c>
      <c r="Q69" s="87">
        <f>Q68+M69</f>
        <v>1.0284722222222222</v>
      </c>
      <c r="R69" s="71"/>
    </row>
    <row r="70" spans="2:21" x14ac:dyDescent="0.25">
      <c r="B70" s="139">
        <v>43887</v>
      </c>
      <c r="C70" s="47" t="s">
        <v>8</v>
      </c>
      <c r="D70" s="35">
        <v>0.35416666666666669</v>
      </c>
      <c r="E70" s="35">
        <v>0.44513888888888892</v>
      </c>
      <c r="F70" s="35">
        <v>0.46249999999999997</v>
      </c>
      <c r="G70" s="30">
        <f t="shared" si="21"/>
        <v>1.7361111111111049E-2</v>
      </c>
      <c r="H70" s="13">
        <f t="shared" si="15"/>
        <v>3.4722222222221613E-3</v>
      </c>
      <c r="I70" s="35">
        <v>0.62638888888888888</v>
      </c>
      <c r="J70" s="35">
        <v>0.69027777777777777</v>
      </c>
      <c r="K70" s="35">
        <f t="shared" si="24"/>
        <v>6.3888888888888884E-2</v>
      </c>
      <c r="L70" s="32">
        <v>0.75416666666666676</v>
      </c>
      <c r="M70" s="32">
        <f t="shared" si="22"/>
        <v>0.33263888888888904</v>
      </c>
      <c r="N70" s="23">
        <f t="shared" si="18"/>
        <v>1.3888888888889006E-2</v>
      </c>
      <c r="O70" s="33">
        <f t="shared" si="23"/>
        <v>8.6111111111111138E-2</v>
      </c>
      <c r="P70" s="67">
        <f>P69+N70</f>
        <v>8.6111111111111138E-2</v>
      </c>
      <c r="Q70" s="87">
        <f>Q69+M70</f>
        <v>1.3611111111111112</v>
      </c>
      <c r="R70" s="71"/>
      <c r="T70" s="166" t="s">
        <v>61</v>
      </c>
    </row>
    <row r="71" spans="2:21" x14ac:dyDescent="0.25">
      <c r="B71" s="139">
        <v>43888</v>
      </c>
      <c r="C71" s="47" t="s">
        <v>9</v>
      </c>
      <c r="D71" s="35">
        <v>0.33888888888888885</v>
      </c>
      <c r="E71" s="35"/>
      <c r="F71" s="35"/>
      <c r="G71" s="30">
        <f t="shared" si="21"/>
        <v>0</v>
      </c>
      <c r="H71" s="13" t="b">
        <f t="shared" si="15"/>
        <v>0</v>
      </c>
      <c r="I71" s="36"/>
      <c r="J71" s="36"/>
      <c r="K71" s="35">
        <f t="shared" si="24"/>
        <v>0</v>
      </c>
      <c r="L71" s="32">
        <v>0.58611111111111114</v>
      </c>
      <c r="M71" s="32">
        <f t="shared" si="22"/>
        <v>0.24722222222222229</v>
      </c>
      <c r="N71" s="23">
        <f t="shared" si="18"/>
        <v>-7.1527777777777746E-2</v>
      </c>
      <c r="O71" s="33">
        <f>O70+N71</f>
        <v>1.4583333333333393E-2</v>
      </c>
      <c r="P71" s="67">
        <f>P70+N71</f>
        <v>1.4583333333333393E-2</v>
      </c>
      <c r="Q71" s="87">
        <f>Q70+M71</f>
        <v>1.6083333333333334</v>
      </c>
      <c r="R71" s="72">
        <f t="shared" ref="R71" si="26">Q71/5</f>
        <v>0.32166666666666666</v>
      </c>
      <c r="T71" s="165">
        <f>SUM(M44:M71)</f>
        <v>6.40625</v>
      </c>
      <c r="U71" s="168">
        <f>T71/20</f>
        <v>0.3203125</v>
      </c>
    </row>
    <row r="72" spans="2:21" x14ac:dyDescent="0.25">
      <c r="B72" s="139">
        <v>43890</v>
      </c>
      <c r="C72" s="48" t="s">
        <v>21</v>
      </c>
      <c r="D72" s="43"/>
      <c r="E72" s="43"/>
      <c r="F72" s="43"/>
      <c r="G72" s="34"/>
      <c r="H72" s="25"/>
      <c r="I72" s="28"/>
      <c r="J72" s="28"/>
      <c r="K72" s="43"/>
      <c r="L72" s="27"/>
      <c r="M72" s="27"/>
      <c r="N72" s="44"/>
      <c r="O72" s="26"/>
      <c r="P72" s="65"/>
      <c r="Q72" s="71"/>
      <c r="R72" s="71"/>
    </row>
    <row r="73" spans="2:21" x14ac:dyDescent="0.25">
      <c r="B73" s="139">
        <v>43891</v>
      </c>
      <c r="C73" s="48" t="s">
        <v>22</v>
      </c>
      <c r="D73" s="43"/>
      <c r="E73" s="43"/>
      <c r="F73" s="43"/>
      <c r="G73" s="34"/>
      <c r="H73" s="28"/>
      <c r="I73" s="28"/>
      <c r="J73" s="28"/>
      <c r="K73" s="43"/>
      <c r="L73" s="27"/>
      <c r="M73" s="27"/>
      <c r="N73" s="44"/>
      <c r="O73" s="26"/>
      <c r="P73" s="65"/>
      <c r="Q73" s="71"/>
      <c r="R73" s="71"/>
    </row>
    <row r="74" spans="2:21" x14ac:dyDescent="0.25">
      <c r="B74" s="139">
        <v>43892</v>
      </c>
      <c r="C74" s="47" t="s">
        <v>6</v>
      </c>
      <c r="D74" s="35">
        <v>0.34583333333333338</v>
      </c>
      <c r="E74" s="35">
        <v>0.44375000000000003</v>
      </c>
      <c r="F74" s="35">
        <v>0.46111111111111108</v>
      </c>
      <c r="G74" s="30">
        <f t="shared" si="21"/>
        <v>1.7361111111111049E-2</v>
      </c>
      <c r="H74" s="13">
        <f t="shared" si="15"/>
        <v>3.4722222222221613E-3</v>
      </c>
      <c r="I74" s="35">
        <v>0.62638888888888888</v>
      </c>
      <c r="J74" s="35">
        <v>0.70277777777777783</v>
      </c>
      <c r="K74" s="35">
        <f t="shared" si="24"/>
        <v>7.6388888888888951E-2</v>
      </c>
      <c r="L74" s="32">
        <v>0.75277777777777777</v>
      </c>
      <c r="M74" s="32">
        <f t="shared" si="22"/>
        <v>0.32708333333333328</v>
      </c>
      <c r="N74" s="23">
        <f t="shared" si="18"/>
        <v>8.3333333333332482E-3</v>
      </c>
      <c r="O74" s="33">
        <f t="shared" si="23"/>
        <v>8.3333333333332482E-3</v>
      </c>
      <c r="P74" s="67">
        <f>P73+N74</f>
        <v>8.3333333333332482E-3</v>
      </c>
      <c r="Q74" s="87">
        <f>M74</f>
        <v>0.32708333333333328</v>
      </c>
      <c r="R74" s="71"/>
    </row>
    <row r="75" spans="2:21" x14ac:dyDescent="0.25">
      <c r="B75" s="139">
        <v>43893</v>
      </c>
      <c r="C75" s="47" t="s">
        <v>7</v>
      </c>
      <c r="D75" s="35">
        <v>0.32847222222222222</v>
      </c>
      <c r="E75" s="35">
        <v>0.44930555555555557</v>
      </c>
      <c r="F75" s="35">
        <v>0.46527777777777773</v>
      </c>
      <c r="G75" s="30">
        <f t="shared" si="21"/>
        <v>1.5972222222222165E-2</v>
      </c>
      <c r="H75" s="13">
        <f t="shared" si="15"/>
        <v>2.0833333333332774E-3</v>
      </c>
      <c r="I75" s="35">
        <v>0.62847222222222221</v>
      </c>
      <c r="J75" s="35">
        <v>0.70138888888888884</v>
      </c>
      <c r="K75" s="35">
        <f t="shared" si="24"/>
        <v>7.291666666666663E-2</v>
      </c>
      <c r="L75" s="32">
        <v>0.75416666666666676</v>
      </c>
      <c r="M75" s="32">
        <f t="shared" si="22"/>
        <v>0.35069444444444464</v>
      </c>
      <c r="N75" s="23">
        <f t="shared" si="18"/>
        <v>3.1944444444444609E-2</v>
      </c>
      <c r="O75" s="33">
        <f t="shared" si="23"/>
        <v>4.0277777777777857E-2</v>
      </c>
      <c r="P75" s="67">
        <f>P74+N75</f>
        <v>4.0277777777777857E-2</v>
      </c>
      <c r="Q75" s="87">
        <f>M74+M75</f>
        <v>0.67777777777777792</v>
      </c>
      <c r="R75" s="71"/>
    </row>
    <row r="76" spans="2:21" x14ac:dyDescent="0.25">
      <c r="B76" s="139">
        <v>43894</v>
      </c>
      <c r="C76" s="47" t="s">
        <v>23</v>
      </c>
      <c r="D76" s="35">
        <v>0.33055555555555555</v>
      </c>
      <c r="E76" s="35"/>
      <c r="F76" s="35"/>
      <c r="G76" s="30">
        <f t="shared" si="21"/>
        <v>0</v>
      </c>
      <c r="H76" s="13" t="b">
        <f t="shared" si="15"/>
        <v>0</v>
      </c>
      <c r="I76" s="35">
        <v>0.64583333333333337</v>
      </c>
      <c r="J76" s="35">
        <v>0.70000000000000007</v>
      </c>
      <c r="K76" s="35">
        <f t="shared" si="24"/>
        <v>5.4166666666666696E-2</v>
      </c>
      <c r="L76" s="32">
        <v>0.75416666666666676</v>
      </c>
      <c r="M76" s="32">
        <f t="shared" si="22"/>
        <v>0.36944444444444452</v>
      </c>
      <c r="N76" s="23">
        <f t="shared" si="18"/>
        <v>5.0694444444444486E-2</v>
      </c>
      <c r="O76" s="33">
        <f t="shared" si="23"/>
        <v>9.0972222222222343E-2</v>
      </c>
      <c r="P76" s="67">
        <f>P75+N76</f>
        <v>9.0972222222222343E-2</v>
      </c>
      <c r="Q76" s="87">
        <f>Q75+M76</f>
        <v>1.0472222222222225</v>
      </c>
      <c r="R76" s="71"/>
    </row>
    <row r="77" spans="2:21" x14ac:dyDescent="0.25">
      <c r="B77" s="139">
        <v>43895</v>
      </c>
      <c r="C77" s="47" t="s">
        <v>8</v>
      </c>
      <c r="D77" s="35">
        <v>0.34930555555555554</v>
      </c>
      <c r="E77" s="35"/>
      <c r="F77" s="35"/>
      <c r="G77" s="30">
        <f t="shared" si="21"/>
        <v>0</v>
      </c>
      <c r="H77" s="13" t="b">
        <f t="shared" si="15"/>
        <v>0</v>
      </c>
      <c r="I77" s="35">
        <v>0.62361111111111112</v>
      </c>
      <c r="J77" s="35">
        <v>0.69374999999999998</v>
      </c>
      <c r="K77" s="35">
        <f t="shared" si="24"/>
        <v>7.0138888888888862E-2</v>
      </c>
      <c r="L77" s="32">
        <v>0.75</v>
      </c>
      <c r="M77" s="32">
        <f t="shared" si="22"/>
        <v>0.3305555555555556</v>
      </c>
      <c r="N77" s="23">
        <f t="shared" si="18"/>
        <v>1.1805555555555569E-2</v>
      </c>
      <c r="O77" s="33">
        <f t="shared" si="23"/>
        <v>0.10277777777777791</v>
      </c>
      <c r="P77" s="67">
        <f>P76+N77</f>
        <v>0.10277777777777791</v>
      </c>
      <c r="Q77" s="87">
        <f>Q76+M77</f>
        <v>1.3777777777777782</v>
      </c>
      <c r="R77" s="71"/>
    </row>
    <row r="78" spans="2:21" x14ac:dyDescent="0.25">
      <c r="B78" s="139">
        <v>43896</v>
      </c>
      <c r="C78" s="47" t="s">
        <v>9</v>
      </c>
      <c r="D78" s="35">
        <v>0.37222222222222223</v>
      </c>
      <c r="E78" s="35">
        <v>0.45763888888888887</v>
      </c>
      <c r="F78" s="35">
        <v>0.47569444444444442</v>
      </c>
      <c r="G78" s="30">
        <f t="shared" si="21"/>
        <v>1.8055555555555547E-2</v>
      </c>
      <c r="H78" s="13">
        <f t="shared" si="15"/>
        <v>4.1666666666666588E-3</v>
      </c>
      <c r="I78" s="36"/>
      <c r="J78" s="36"/>
      <c r="K78" s="35">
        <f t="shared" si="24"/>
        <v>0</v>
      </c>
      <c r="L78" s="32">
        <v>0.58402777777777781</v>
      </c>
      <c r="M78" s="32">
        <f t="shared" si="22"/>
        <v>0.20763888888888893</v>
      </c>
      <c r="N78" s="23">
        <f>M78-$D$6</f>
        <v>-0.1111111111111111</v>
      </c>
      <c r="O78" s="33">
        <f t="shared" si="23"/>
        <v>-8.3333333333331927E-3</v>
      </c>
      <c r="P78" s="67">
        <f>P77+N78</f>
        <v>-8.3333333333331927E-3</v>
      </c>
      <c r="Q78" s="87">
        <f>Q77+M78</f>
        <v>1.5854166666666671</v>
      </c>
      <c r="R78" s="72">
        <f t="shared" ref="R78" si="27">Q78/5</f>
        <v>0.31708333333333344</v>
      </c>
    </row>
    <row r="79" spans="2:21" x14ac:dyDescent="0.25">
      <c r="B79" s="139">
        <v>43897</v>
      </c>
      <c r="C79" s="48" t="s">
        <v>21</v>
      </c>
      <c r="D79" s="43"/>
      <c r="E79" s="43"/>
      <c r="F79" s="43"/>
      <c r="G79" s="34"/>
      <c r="H79" s="25"/>
      <c r="I79" s="28"/>
      <c r="J79" s="28"/>
      <c r="K79" s="43"/>
      <c r="L79" s="27"/>
      <c r="M79" s="27"/>
      <c r="N79" s="44"/>
      <c r="O79" s="26"/>
      <c r="P79" s="65"/>
      <c r="Q79" s="71"/>
      <c r="R79" s="71"/>
    </row>
    <row r="80" spans="2:21" x14ac:dyDescent="0.25">
      <c r="B80" s="139">
        <v>43898</v>
      </c>
      <c r="C80" s="48" t="s">
        <v>22</v>
      </c>
      <c r="D80" s="43"/>
      <c r="E80" s="43"/>
      <c r="F80" s="43"/>
      <c r="G80" s="34"/>
      <c r="H80" s="28"/>
      <c r="I80" s="28"/>
      <c r="J80" s="28"/>
      <c r="K80" s="43"/>
      <c r="L80" s="27"/>
      <c r="M80" s="27"/>
      <c r="N80" s="44"/>
      <c r="O80" s="26"/>
      <c r="P80" s="65"/>
      <c r="Q80" s="71"/>
      <c r="R80" s="71"/>
    </row>
    <row r="81" spans="2:18" x14ac:dyDescent="0.25">
      <c r="B81" s="139">
        <v>43899</v>
      </c>
      <c r="C81" s="47" t="s">
        <v>6</v>
      </c>
      <c r="D81" s="35">
        <v>0.30972222222222223</v>
      </c>
      <c r="E81" s="35">
        <v>0.45</v>
      </c>
      <c r="F81" s="35">
        <v>0.46736111111111112</v>
      </c>
      <c r="G81" s="30">
        <f t="shared" si="21"/>
        <v>1.7361111111111105E-2</v>
      </c>
      <c r="H81" s="13">
        <f t="shared" si="15"/>
        <v>3.4722222222222168E-3</v>
      </c>
      <c r="I81" s="36"/>
      <c r="J81" s="36"/>
      <c r="K81" s="35">
        <f t="shared" si="24"/>
        <v>0</v>
      </c>
      <c r="L81" s="32">
        <v>0.64652777777777781</v>
      </c>
      <c r="M81" s="32">
        <f t="shared" si="22"/>
        <v>0.33333333333333337</v>
      </c>
      <c r="N81" s="23">
        <f t="shared" si="18"/>
        <v>1.4583333333333337E-2</v>
      </c>
      <c r="O81" s="33">
        <f t="shared" si="23"/>
        <v>1.4583333333333337E-2</v>
      </c>
      <c r="P81" s="67">
        <f>P80+N81</f>
        <v>1.4583333333333337E-2</v>
      </c>
      <c r="Q81" s="87">
        <f>M81</f>
        <v>0.33333333333333337</v>
      </c>
      <c r="R81" s="71"/>
    </row>
    <row r="82" spans="2:18" x14ac:dyDescent="0.25">
      <c r="B82" s="139">
        <v>43900</v>
      </c>
      <c r="C82" s="47" t="s">
        <v>7</v>
      </c>
      <c r="D82" s="35">
        <v>0.30833333333333335</v>
      </c>
      <c r="E82" s="35">
        <v>0.4375</v>
      </c>
      <c r="F82" s="35">
        <v>0.45208333333333334</v>
      </c>
      <c r="G82" s="30">
        <f t="shared" si="21"/>
        <v>1.4583333333333337E-2</v>
      </c>
      <c r="H82" s="13">
        <f t="shared" si="15"/>
        <v>6.9444444444444892E-4</v>
      </c>
      <c r="I82" s="36"/>
      <c r="J82" s="36"/>
      <c r="K82" s="35">
        <f t="shared" si="24"/>
        <v>0</v>
      </c>
      <c r="L82" s="32">
        <v>0.65277777777777779</v>
      </c>
      <c r="M82" s="32">
        <f t="shared" si="22"/>
        <v>0.34375</v>
      </c>
      <c r="N82" s="23">
        <f t="shared" si="18"/>
        <v>2.4999999999999967E-2</v>
      </c>
      <c r="O82" s="33">
        <f t="shared" si="23"/>
        <v>3.9583333333333304E-2</v>
      </c>
      <c r="P82" s="67">
        <f>P81+N82</f>
        <v>3.9583333333333304E-2</v>
      </c>
      <c r="Q82" s="87">
        <f>M81+M82</f>
        <v>0.67708333333333337</v>
      </c>
      <c r="R82" s="71"/>
    </row>
    <row r="83" spans="2:18" x14ac:dyDescent="0.25">
      <c r="B83" s="139">
        <v>43901</v>
      </c>
      <c r="C83" s="47" t="s">
        <v>23</v>
      </c>
      <c r="D83" s="35">
        <v>0.3215277777777778</v>
      </c>
      <c r="E83" s="35">
        <v>0.44166666666666665</v>
      </c>
      <c r="F83" s="35">
        <v>0.45624999999999999</v>
      </c>
      <c r="G83" s="30">
        <f t="shared" si="21"/>
        <v>1.4583333333333337E-2</v>
      </c>
      <c r="H83" s="13">
        <f t="shared" si="15"/>
        <v>6.9444444444444892E-4</v>
      </c>
      <c r="I83" s="36"/>
      <c r="J83" s="36"/>
      <c r="K83" s="35">
        <f t="shared" si="24"/>
        <v>0</v>
      </c>
      <c r="L83" s="32">
        <v>0.6333333333333333</v>
      </c>
      <c r="M83" s="32">
        <f t="shared" si="22"/>
        <v>0.31111111111111106</v>
      </c>
      <c r="N83" s="23">
        <f t="shared" si="18"/>
        <v>-7.6388888888889728E-3</v>
      </c>
      <c r="O83" s="33">
        <f t="shared" si="23"/>
        <v>3.1944444444444331E-2</v>
      </c>
      <c r="P83" s="67">
        <f>P82+N83</f>
        <v>3.1944444444444331E-2</v>
      </c>
      <c r="Q83" s="87">
        <f>Q82+M83</f>
        <v>0.98819444444444438</v>
      </c>
      <c r="R83" s="71"/>
    </row>
    <row r="84" spans="2:18" x14ac:dyDescent="0.25">
      <c r="B84" s="139">
        <v>43902</v>
      </c>
      <c r="C84" s="47" t="s">
        <v>8</v>
      </c>
      <c r="D84" s="35">
        <v>0.31527777777777777</v>
      </c>
      <c r="E84" s="35">
        <v>0.44513888888888892</v>
      </c>
      <c r="F84" s="35">
        <v>0.46458333333333335</v>
      </c>
      <c r="G84" s="30">
        <f t="shared" si="21"/>
        <v>1.9444444444444431E-2</v>
      </c>
      <c r="H84" s="13">
        <f t="shared" si="15"/>
        <v>5.5555555555555428E-3</v>
      </c>
      <c r="I84" s="36"/>
      <c r="J84" s="36"/>
      <c r="K84" s="35">
        <f t="shared" si="24"/>
        <v>0</v>
      </c>
      <c r="L84" s="32">
        <v>0.66041666666666665</v>
      </c>
      <c r="M84" s="32">
        <f t="shared" si="22"/>
        <v>0.33958333333333335</v>
      </c>
      <c r="N84" s="23">
        <f t="shared" si="18"/>
        <v>2.0833333333333315E-2</v>
      </c>
      <c r="O84" s="33">
        <f t="shared" si="23"/>
        <v>5.2777777777777646E-2</v>
      </c>
      <c r="P84" s="67">
        <f>P83+N84</f>
        <v>5.2777777777777646E-2</v>
      </c>
      <c r="Q84" s="87">
        <f>Q83+M84</f>
        <v>1.3277777777777777</v>
      </c>
      <c r="R84" s="71"/>
    </row>
    <row r="85" spans="2:18" x14ac:dyDescent="0.25">
      <c r="B85" s="139">
        <v>43903</v>
      </c>
      <c r="C85" s="47" t="s">
        <v>9</v>
      </c>
      <c r="D85" s="35">
        <v>0.30902777777777779</v>
      </c>
      <c r="E85" s="35">
        <v>0.44097222222222227</v>
      </c>
      <c r="F85" s="35">
        <v>0.46180555555555558</v>
      </c>
      <c r="G85" s="30">
        <f t="shared" si="21"/>
        <v>2.0833333333333315E-2</v>
      </c>
      <c r="H85" s="13">
        <f t="shared" si="15"/>
        <v>6.9444444444444267E-3</v>
      </c>
      <c r="I85" s="36"/>
      <c r="J85" s="36"/>
      <c r="K85" s="35">
        <f t="shared" si="24"/>
        <v>0</v>
      </c>
      <c r="L85" s="32">
        <v>0.58888888888888891</v>
      </c>
      <c r="M85" s="32">
        <f t="shared" si="22"/>
        <v>0.2729166666666667</v>
      </c>
      <c r="N85" s="23">
        <f>M85-$D$6</f>
        <v>-4.5833333333333337E-2</v>
      </c>
      <c r="O85" s="33">
        <f t="shared" si="23"/>
        <v>6.9444444444443088E-3</v>
      </c>
      <c r="P85" s="67">
        <f>P84+N85</f>
        <v>6.9444444444443088E-3</v>
      </c>
      <c r="Q85" s="87">
        <f>Q84+M85</f>
        <v>1.6006944444444444</v>
      </c>
      <c r="R85" s="72">
        <f t="shared" ref="R85" si="28">Q85/5</f>
        <v>0.32013888888888886</v>
      </c>
    </row>
    <row r="86" spans="2:18" x14ac:dyDescent="0.25">
      <c r="B86" s="139">
        <v>43904</v>
      </c>
      <c r="C86" s="48" t="s">
        <v>21</v>
      </c>
      <c r="D86" s="43"/>
      <c r="E86" s="43"/>
      <c r="F86" s="43"/>
      <c r="G86" s="34"/>
      <c r="H86" s="25"/>
      <c r="I86" s="28"/>
      <c r="J86" s="28"/>
      <c r="K86" s="43"/>
      <c r="L86" s="27"/>
      <c r="M86" s="27"/>
      <c r="N86" s="44"/>
      <c r="O86" s="26"/>
      <c r="P86" s="65"/>
      <c r="Q86" s="71"/>
      <c r="R86" s="71"/>
    </row>
    <row r="87" spans="2:18" x14ac:dyDescent="0.25">
      <c r="B87" s="139">
        <v>43905</v>
      </c>
      <c r="C87" s="48" t="s">
        <v>22</v>
      </c>
      <c r="D87" s="43"/>
      <c r="E87" s="43"/>
      <c r="F87" s="43"/>
      <c r="G87" s="34"/>
      <c r="H87" s="28"/>
      <c r="I87" s="28"/>
      <c r="J87" s="28"/>
      <c r="K87" s="43"/>
      <c r="L87" s="27"/>
      <c r="M87" s="27"/>
      <c r="N87" s="44"/>
      <c r="O87" s="26"/>
      <c r="P87" s="65"/>
      <c r="Q87" s="71"/>
      <c r="R87" s="71"/>
    </row>
    <row r="88" spans="2:18" x14ac:dyDescent="0.25">
      <c r="B88" s="139">
        <v>43906</v>
      </c>
      <c r="C88" s="47" t="s">
        <v>6</v>
      </c>
      <c r="D88" s="137">
        <v>0.3298611111111111</v>
      </c>
      <c r="E88" s="137">
        <v>0.44097222222222227</v>
      </c>
      <c r="F88" s="137">
        <v>0.45694444444444443</v>
      </c>
      <c r="G88" s="169">
        <f t="shared" si="21"/>
        <v>1.5972222222222165E-2</v>
      </c>
      <c r="H88" s="170">
        <f t="shared" ref="H88:H151" si="29">IF(G88&gt;$I$6,G88-$I$6)</f>
        <v>2.0833333333332774E-3</v>
      </c>
      <c r="I88" s="171"/>
      <c r="J88" s="171"/>
      <c r="K88" s="137">
        <f t="shared" si="24"/>
        <v>0</v>
      </c>
      <c r="L88" s="172">
        <v>0.65486111111111112</v>
      </c>
      <c r="M88" s="172">
        <f>(L88-D88)-H88-K88</f>
        <v>0.32291666666666674</v>
      </c>
      <c r="N88" s="173">
        <f>M88-$D$6</f>
        <v>4.1666666666667074E-3</v>
      </c>
      <c r="O88" s="174">
        <f t="shared" si="23"/>
        <v>4.1666666666667074E-3</v>
      </c>
      <c r="P88" s="67">
        <f>P87+N88</f>
        <v>4.1666666666667074E-3</v>
      </c>
      <c r="Q88" s="87">
        <f>M88</f>
        <v>0.32291666666666674</v>
      </c>
      <c r="R88" s="71"/>
    </row>
    <row r="89" spans="2:18" x14ac:dyDescent="0.25">
      <c r="B89" s="139">
        <v>43907</v>
      </c>
      <c r="C89" s="47" t="s">
        <v>7</v>
      </c>
      <c r="D89" s="137">
        <v>0.31388888888888888</v>
      </c>
      <c r="E89" s="137">
        <v>0.44166666666666665</v>
      </c>
      <c r="F89" s="137">
        <v>0.45694444444444443</v>
      </c>
      <c r="G89" s="169">
        <f t="shared" si="21"/>
        <v>1.5277777777777779E-2</v>
      </c>
      <c r="H89" s="170">
        <f t="shared" si="29"/>
        <v>1.3888888888888909E-3</v>
      </c>
      <c r="I89" s="137"/>
      <c r="J89" s="137"/>
      <c r="K89" s="137">
        <f t="shared" si="24"/>
        <v>0</v>
      </c>
      <c r="L89" s="172">
        <v>0.64930555555555558</v>
      </c>
      <c r="M89" s="172">
        <f>(L89-D89)-H89-K89</f>
        <v>0.33402777777777781</v>
      </c>
      <c r="N89" s="173">
        <f>M89-$D$6</f>
        <v>1.5277777777777779E-2</v>
      </c>
      <c r="O89" s="174">
        <f t="shared" si="23"/>
        <v>1.9444444444444486E-2</v>
      </c>
      <c r="P89" s="67">
        <f>P88+N89</f>
        <v>1.9444444444444486E-2</v>
      </c>
      <c r="Q89" s="87">
        <f>M88+M89</f>
        <v>0.65694444444444455</v>
      </c>
      <c r="R89" s="71"/>
    </row>
    <row r="90" spans="2:18" x14ac:dyDescent="0.25">
      <c r="B90" s="139">
        <v>43908</v>
      </c>
      <c r="C90" s="47" t="s">
        <v>23</v>
      </c>
      <c r="D90" s="35">
        <v>0.30972222222222223</v>
      </c>
      <c r="E90" s="35">
        <v>0.44861111111111113</v>
      </c>
      <c r="F90" s="35">
        <v>0.46736111111111112</v>
      </c>
      <c r="G90" s="30">
        <f t="shared" si="21"/>
        <v>1.8749999999999989E-2</v>
      </c>
      <c r="H90" s="13">
        <f t="shared" si="29"/>
        <v>4.8611111111111008E-3</v>
      </c>
      <c r="I90" s="35"/>
      <c r="J90" s="35"/>
      <c r="K90" s="35">
        <f t="shared" si="24"/>
        <v>0</v>
      </c>
      <c r="L90" s="32">
        <v>0.64722222222222225</v>
      </c>
      <c r="M90" s="32">
        <f t="shared" si="22"/>
        <v>0.33263888888888893</v>
      </c>
      <c r="N90" s="23">
        <f t="shared" si="18"/>
        <v>1.3888888888888895E-2</v>
      </c>
      <c r="O90" s="33">
        <f t="shared" si="23"/>
        <v>3.3333333333333381E-2</v>
      </c>
      <c r="P90" s="67">
        <f>P89+N90</f>
        <v>3.3333333333333381E-2</v>
      </c>
      <c r="Q90" s="87">
        <f>Q89+M90</f>
        <v>0.98958333333333348</v>
      </c>
      <c r="R90" s="71"/>
    </row>
    <row r="91" spans="2:18" x14ac:dyDescent="0.25">
      <c r="B91" s="139">
        <v>43909</v>
      </c>
      <c r="C91" s="47" t="s">
        <v>8</v>
      </c>
      <c r="D91" s="35">
        <v>0.31180555555555556</v>
      </c>
      <c r="E91" s="35">
        <v>0.44097222222222227</v>
      </c>
      <c r="F91" s="35">
        <v>0.4604166666666667</v>
      </c>
      <c r="G91" s="30">
        <f t="shared" si="21"/>
        <v>1.9444444444444431E-2</v>
      </c>
      <c r="H91" s="13">
        <f t="shared" si="29"/>
        <v>5.5555555555555428E-3</v>
      </c>
      <c r="I91" s="35"/>
      <c r="J91" s="35"/>
      <c r="K91" s="35">
        <f t="shared" si="24"/>
        <v>0</v>
      </c>
      <c r="L91" s="32">
        <v>0.64930555555555558</v>
      </c>
      <c r="M91" s="32">
        <f>(L91-D91)-H91-K91</f>
        <v>0.33194444444444449</v>
      </c>
      <c r="N91" s="23">
        <f t="shared" si="18"/>
        <v>1.3194444444444453E-2</v>
      </c>
      <c r="O91" s="33">
        <f t="shared" si="23"/>
        <v>4.6527777777777835E-2</v>
      </c>
      <c r="P91" s="67">
        <f>P90+N91</f>
        <v>4.6527777777777835E-2</v>
      </c>
      <c r="Q91" s="87">
        <f>Q90+M91</f>
        <v>1.3215277777777779</v>
      </c>
      <c r="R91" s="71"/>
    </row>
    <row r="92" spans="2:18" x14ac:dyDescent="0.25">
      <c r="B92" s="139">
        <v>43910</v>
      </c>
      <c r="C92" s="47" t="s">
        <v>9</v>
      </c>
      <c r="D92" s="35">
        <v>0.31597222222222221</v>
      </c>
      <c r="E92" s="35">
        <v>0.43958333333333338</v>
      </c>
      <c r="F92" s="35">
        <v>0.45416666666666666</v>
      </c>
      <c r="G92" s="30">
        <f t="shared" si="21"/>
        <v>1.4583333333333282E-2</v>
      </c>
      <c r="H92" s="13">
        <f t="shared" si="29"/>
        <v>6.9444444444439341E-4</v>
      </c>
      <c r="I92" s="36"/>
      <c r="J92" s="36"/>
      <c r="K92" s="35">
        <f t="shared" si="24"/>
        <v>0</v>
      </c>
      <c r="L92" s="32">
        <v>0.56319444444444444</v>
      </c>
      <c r="M92" s="32">
        <f t="shared" si="22"/>
        <v>0.24652777777777785</v>
      </c>
      <c r="N92" s="23">
        <f t="shared" si="18"/>
        <v>-7.2222222222222188E-2</v>
      </c>
      <c r="O92" s="33">
        <f t="shared" si="23"/>
        <v>-2.5694444444444353E-2</v>
      </c>
      <c r="P92" s="67">
        <f>P91+N92</f>
        <v>-2.5694444444444353E-2</v>
      </c>
      <c r="Q92" s="87">
        <f>Q91+M92</f>
        <v>1.5680555555555558</v>
      </c>
      <c r="R92" s="72">
        <f>Q92/5</f>
        <v>0.31361111111111117</v>
      </c>
    </row>
    <row r="93" spans="2:18" x14ac:dyDescent="0.25">
      <c r="B93" s="139">
        <v>43911</v>
      </c>
      <c r="C93" s="48" t="s">
        <v>21</v>
      </c>
      <c r="D93" s="43"/>
      <c r="E93" s="43"/>
      <c r="F93" s="43"/>
      <c r="G93" s="34"/>
      <c r="H93" s="25"/>
      <c r="I93" s="28"/>
      <c r="J93" s="28"/>
      <c r="K93" s="43"/>
      <c r="L93" s="27"/>
      <c r="M93" s="27"/>
      <c r="N93" s="44"/>
      <c r="O93" s="26"/>
      <c r="P93" s="65"/>
      <c r="Q93" s="71"/>
      <c r="R93" s="71"/>
    </row>
    <row r="94" spans="2:18" x14ac:dyDescent="0.25">
      <c r="B94" s="139">
        <v>43912</v>
      </c>
      <c r="C94" s="48" t="s">
        <v>22</v>
      </c>
      <c r="D94" s="43"/>
      <c r="E94" s="43"/>
      <c r="F94" s="43"/>
      <c r="G94" s="34"/>
      <c r="H94" s="28"/>
      <c r="I94" s="28"/>
      <c r="J94" s="28"/>
      <c r="K94" s="43"/>
      <c r="L94" s="27"/>
      <c r="M94" s="27"/>
      <c r="N94" s="44"/>
      <c r="O94" s="26"/>
      <c r="P94" s="65"/>
      <c r="Q94" s="71"/>
      <c r="R94" s="71"/>
    </row>
    <row r="95" spans="2:18" x14ac:dyDescent="0.25">
      <c r="B95" s="139">
        <v>43913</v>
      </c>
      <c r="C95" s="47" t="s">
        <v>6</v>
      </c>
      <c r="D95" s="35">
        <v>0.31458333333333333</v>
      </c>
      <c r="E95" s="35">
        <v>0.45069444444444445</v>
      </c>
      <c r="F95" s="35">
        <v>0.46666666666666662</v>
      </c>
      <c r="G95" s="30">
        <f t="shared" si="21"/>
        <v>1.5972222222222165E-2</v>
      </c>
      <c r="H95" s="13">
        <f t="shared" si="29"/>
        <v>2.0833333333332774E-3</v>
      </c>
      <c r="I95" s="35"/>
      <c r="J95" s="35"/>
      <c r="K95" s="35">
        <f t="shared" si="24"/>
        <v>0</v>
      </c>
      <c r="L95" s="32">
        <v>0.6479166666666667</v>
      </c>
      <c r="M95" s="32">
        <f t="shared" si="22"/>
        <v>0.3312500000000001</v>
      </c>
      <c r="N95" s="23">
        <f t="shared" si="18"/>
        <v>1.2500000000000067E-2</v>
      </c>
      <c r="O95" s="33">
        <f t="shared" si="23"/>
        <v>1.2500000000000067E-2</v>
      </c>
      <c r="P95" s="67">
        <f>P94+N95</f>
        <v>1.2500000000000067E-2</v>
      </c>
      <c r="Q95" s="87">
        <f>M95</f>
        <v>0.3312500000000001</v>
      </c>
      <c r="R95" s="71"/>
    </row>
    <row r="96" spans="2:18" x14ac:dyDescent="0.25">
      <c r="B96" s="139">
        <v>43914</v>
      </c>
      <c r="C96" s="47" t="s">
        <v>7</v>
      </c>
      <c r="D96" s="35">
        <v>0.32013888888888892</v>
      </c>
      <c r="E96" s="35">
        <v>0.4597222222222222</v>
      </c>
      <c r="F96" s="35">
        <v>0.47569444444444442</v>
      </c>
      <c r="G96" s="30">
        <f t="shared" si="21"/>
        <v>1.5972222222222221E-2</v>
      </c>
      <c r="H96" s="13">
        <f t="shared" si="29"/>
        <v>2.0833333333333329E-3</v>
      </c>
      <c r="I96" s="35"/>
      <c r="J96" s="35"/>
      <c r="K96" s="35">
        <f t="shared" si="24"/>
        <v>0</v>
      </c>
      <c r="L96" s="32">
        <v>0.65416666666666667</v>
      </c>
      <c r="M96" s="32">
        <f t="shared" si="22"/>
        <v>0.33194444444444443</v>
      </c>
      <c r="N96" s="23">
        <f t="shared" si="18"/>
        <v>1.3194444444444398E-2</v>
      </c>
      <c r="O96" s="33">
        <f t="shared" si="23"/>
        <v>2.5694444444444464E-2</v>
      </c>
      <c r="P96" s="67">
        <f>P95+N96</f>
        <v>2.5694444444444464E-2</v>
      </c>
      <c r="Q96" s="87">
        <f>M95+M96</f>
        <v>0.66319444444444453</v>
      </c>
      <c r="R96" s="71"/>
    </row>
    <row r="97" spans="2:21" x14ac:dyDescent="0.25">
      <c r="B97" s="139">
        <v>43915</v>
      </c>
      <c r="C97" s="47" t="s">
        <v>23</v>
      </c>
      <c r="D97" s="35">
        <v>0.3125</v>
      </c>
      <c r="E97" s="35">
        <v>0.46527777777777773</v>
      </c>
      <c r="F97" s="35">
        <v>0.47986111111111113</v>
      </c>
      <c r="G97" s="30">
        <f t="shared" si="21"/>
        <v>1.4583333333333393E-2</v>
      </c>
      <c r="H97" s="13">
        <f t="shared" si="29"/>
        <v>6.9444444444450443E-4</v>
      </c>
      <c r="I97" s="36"/>
      <c r="J97" s="36"/>
      <c r="K97" s="35">
        <f t="shared" si="24"/>
        <v>0</v>
      </c>
      <c r="L97" s="32">
        <v>0.64930555555555558</v>
      </c>
      <c r="M97" s="32">
        <f t="shared" si="22"/>
        <v>0.33611111111111108</v>
      </c>
      <c r="N97" s="23">
        <f t="shared" si="18"/>
        <v>1.7361111111111049E-2</v>
      </c>
      <c r="O97" s="33">
        <f t="shared" si="23"/>
        <v>4.3055555555555514E-2</v>
      </c>
      <c r="P97" s="67">
        <f>P96+N97</f>
        <v>4.3055555555555514E-2</v>
      </c>
      <c r="Q97" s="87">
        <f>Q96+M97</f>
        <v>0.99930555555555567</v>
      </c>
      <c r="R97" s="71"/>
    </row>
    <row r="98" spans="2:21" x14ac:dyDescent="0.25">
      <c r="B98" s="139">
        <v>43916</v>
      </c>
      <c r="C98" s="47" t="s">
        <v>8</v>
      </c>
      <c r="D98" s="35">
        <v>0.31041666666666667</v>
      </c>
      <c r="E98" s="35">
        <v>0.4368055555555555</v>
      </c>
      <c r="F98" s="35">
        <v>0.45069444444444445</v>
      </c>
      <c r="G98" s="30">
        <f t="shared" si="21"/>
        <v>1.3888888888888951E-2</v>
      </c>
      <c r="H98" s="13">
        <f t="shared" si="29"/>
        <v>6.2450045135165055E-17</v>
      </c>
      <c r="I98" s="36"/>
      <c r="J98" s="36"/>
      <c r="K98" s="35">
        <f t="shared" si="24"/>
        <v>0</v>
      </c>
      <c r="L98" s="32">
        <v>0.64861111111111114</v>
      </c>
      <c r="M98" s="32">
        <f t="shared" si="22"/>
        <v>0.33819444444444441</v>
      </c>
      <c r="N98" s="23">
        <f t="shared" si="18"/>
        <v>1.9444444444444375E-2</v>
      </c>
      <c r="O98" s="33">
        <f t="shared" si="23"/>
        <v>6.2499999999999889E-2</v>
      </c>
      <c r="P98" s="67">
        <f>P97+N98</f>
        <v>6.2499999999999889E-2</v>
      </c>
      <c r="Q98" s="87">
        <f>Q97+M98</f>
        <v>1.3375000000000001</v>
      </c>
      <c r="R98" s="71"/>
    </row>
    <row r="99" spans="2:21" x14ac:dyDescent="0.25">
      <c r="B99" s="139">
        <v>43917</v>
      </c>
      <c r="C99" s="47" t="s">
        <v>9</v>
      </c>
      <c r="D99" s="35">
        <v>0.30624999999999997</v>
      </c>
      <c r="E99" s="35">
        <v>0.44861111111111113</v>
      </c>
      <c r="F99" s="35">
        <v>0.46180555555555558</v>
      </c>
      <c r="G99" s="30">
        <f t="shared" si="21"/>
        <v>1.3194444444444453E-2</v>
      </c>
      <c r="H99" s="13" t="b">
        <f t="shared" si="29"/>
        <v>0</v>
      </c>
      <c r="I99" s="36"/>
      <c r="J99" s="36"/>
      <c r="K99" s="35">
        <f t="shared" si="24"/>
        <v>0</v>
      </c>
      <c r="L99" s="32">
        <v>0.58263888888888882</v>
      </c>
      <c r="M99" s="32">
        <f t="shared" si="22"/>
        <v>0.27638888888888885</v>
      </c>
      <c r="N99" s="23">
        <f t="shared" si="18"/>
        <v>-4.2361111111111183E-2</v>
      </c>
      <c r="O99" s="33">
        <f t="shared" si="23"/>
        <v>2.0138888888888706E-2</v>
      </c>
      <c r="P99" s="67">
        <f>P98+N99</f>
        <v>2.0138888888888706E-2</v>
      </c>
      <c r="Q99" s="87">
        <f>Q98+M99</f>
        <v>1.6138888888888889</v>
      </c>
      <c r="R99" s="72">
        <f t="shared" ref="R99" si="30">Q99/5</f>
        <v>0.32277777777777777</v>
      </c>
    </row>
    <row r="100" spans="2:21" x14ac:dyDescent="0.25">
      <c r="B100" s="139">
        <v>43918</v>
      </c>
      <c r="C100" s="48" t="s">
        <v>21</v>
      </c>
      <c r="D100" s="43"/>
      <c r="E100" s="43"/>
      <c r="F100" s="43"/>
      <c r="G100" s="34"/>
      <c r="H100" s="25"/>
      <c r="I100" s="28"/>
      <c r="J100" s="28"/>
      <c r="K100" s="43"/>
      <c r="L100" s="27"/>
      <c r="M100" s="27"/>
      <c r="N100" s="44"/>
      <c r="O100" s="26"/>
      <c r="P100" s="65"/>
      <c r="Q100" s="71"/>
      <c r="R100" s="71"/>
    </row>
    <row r="101" spans="2:21" x14ac:dyDescent="0.25">
      <c r="B101" s="139">
        <v>43919</v>
      </c>
      <c r="C101" s="48" t="s">
        <v>22</v>
      </c>
      <c r="D101" s="43"/>
      <c r="E101" s="43"/>
      <c r="F101" s="43"/>
      <c r="G101" s="34"/>
      <c r="H101" s="28"/>
      <c r="I101" s="28"/>
      <c r="J101" s="28"/>
      <c r="K101" s="43"/>
      <c r="L101" s="27"/>
      <c r="M101" s="27"/>
      <c r="N101" s="44"/>
      <c r="O101" s="26"/>
      <c r="P101" s="65"/>
      <c r="Q101" s="71"/>
      <c r="R101" s="71"/>
      <c r="T101" s="166" t="s">
        <v>61</v>
      </c>
    </row>
    <row r="102" spans="2:21" x14ac:dyDescent="0.25">
      <c r="B102" s="139">
        <v>43920</v>
      </c>
      <c r="C102" s="47" t="s">
        <v>6</v>
      </c>
      <c r="D102" s="35">
        <v>0.3611111111111111</v>
      </c>
      <c r="E102" s="35">
        <v>0.44444444444444442</v>
      </c>
      <c r="F102" s="35">
        <v>0.45902777777777781</v>
      </c>
      <c r="G102" s="30">
        <f t="shared" si="21"/>
        <v>1.4583333333333393E-2</v>
      </c>
      <c r="H102" s="13">
        <f t="shared" si="29"/>
        <v>6.9444444444450443E-4</v>
      </c>
      <c r="I102" s="35">
        <v>0.62847222222222221</v>
      </c>
      <c r="J102" s="35">
        <v>0.70277777777777783</v>
      </c>
      <c r="K102" s="35">
        <f t="shared" si="24"/>
        <v>7.4305555555555625E-2</v>
      </c>
      <c r="L102" s="32">
        <v>0.75416666666666676</v>
      </c>
      <c r="M102" s="32">
        <f t="shared" si="22"/>
        <v>0.31805555555555554</v>
      </c>
      <c r="N102" s="23">
        <f t="shared" si="18"/>
        <v>-6.9444444444449749E-4</v>
      </c>
      <c r="O102" s="33">
        <f>O101+N102</f>
        <v>-6.9444444444449749E-4</v>
      </c>
      <c r="P102" s="67">
        <f>P101+N102</f>
        <v>-6.9444444444449749E-4</v>
      </c>
      <c r="Q102" s="87">
        <f>M102</f>
        <v>0.31805555555555554</v>
      </c>
      <c r="R102" s="71"/>
      <c r="T102" s="165">
        <f>SUM(M72:M102)</f>
        <v>6.6861111111111118</v>
      </c>
      <c r="U102" s="168">
        <f>T102/21</f>
        <v>0.31838624338624344</v>
      </c>
    </row>
    <row r="103" spans="2:21" x14ac:dyDescent="0.25">
      <c r="B103" s="139">
        <v>43921</v>
      </c>
      <c r="C103" s="47" t="s">
        <v>7</v>
      </c>
      <c r="D103" s="35">
        <v>0.32708333333333334</v>
      </c>
      <c r="E103" s="35">
        <v>0.4458333333333333</v>
      </c>
      <c r="F103" s="35">
        <v>0.46180555555555558</v>
      </c>
      <c r="G103" s="30">
        <f t="shared" ref="G103:G113" si="31">F103-E103</f>
        <v>1.5972222222222276E-2</v>
      </c>
      <c r="H103" s="13">
        <f t="shared" si="29"/>
        <v>2.0833333333333884E-3</v>
      </c>
      <c r="I103" s="35">
        <v>0.625</v>
      </c>
      <c r="J103" s="35">
        <v>0.69444444444444453</v>
      </c>
      <c r="K103" s="35">
        <f t="shared" ref="K103:K113" si="32">J103-I103</f>
        <v>6.9444444444444531E-2</v>
      </c>
      <c r="L103" s="32">
        <v>0.75486111111111109</v>
      </c>
      <c r="M103" s="32">
        <f t="shared" ref="M103:M113" si="33">(L103-D103)-H103-K103</f>
        <v>0.35624999999999984</v>
      </c>
      <c r="N103" s="23">
        <f t="shared" si="18"/>
        <v>3.7499999999999811E-2</v>
      </c>
      <c r="O103" s="33">
        <f t="shared" ref="O103:O113" si="34">O102+N103</f>
        <v>3.6805555555555314E-2</v>
      </c>
      <c r="P103" s="67">
        <f>P102+N103</f>
        <v>3.6805555555555314E-2</v>
      </c>
      <c r="Q103" s="87">
        <f>M102+M103</f>
        <v>0.67430555555555538</v>
      </c>
      <c r="R103" s="71"/>
    </row>
    <row r="104" spans="2:21" x14ac:dyDescent="0.25">
      <c r="B104" s="139">
        <v>43922</v>
      </c>
      <c r="C104" s="47" t="s">
        <v>23</v>
      </c>
      <c r="D104" s="35">
        <v>0.3347222222222222</v>
      </c>
      <c r="E104" s="35">
        <v>0.44722222222222219</v>
      </c>
      <c r="F104" s="35">
        <v>0.46458333333333335</v>
      </c>
      <c r="G104" s="30">
        <f t="shared" si="31"/>
        <v>1.736111111111116E-2</v>
      </c>
      <c r="H104" s="13">
        <f t="shared" si="29"/>
        <v>3.4722222222222723E-3</v>
      </c>
      <c r="I104" s="35">
        <v>0.6333333333333333</v>
      </c>
      <c r="J104" s="35">
        <v>0.69861111111111107</v>
      </c>
      <c r="K104" s="35">
        <f t="shared" si="32"/>
        <v>6.5277777777777768E-2</v>
      </c>
      <c r="L104" s="32">
        <v>0.75069444444444444</v>
      </c>
      <c r="M104" s="32">
        <f t="shared" si="33"/>
        <v>0.34722222222222221</v>
      </c>
      <c r="N104" s="23">
        <f t="shared" si="18"/>
        <v>2.8472222222222177E-2</v>
      </c>
      <c r="O104" s="33">
        <f t="shared" si="34"/>
        <v>6.527777777777749E-2</v>
      </c>
      <c r="P104" s="67">
        <f>P103+N104</f>
        <v>6.527777777777749E-2</v>
      </c>
      <c r="Q104" s="87">
        <f>Q103+M104</f>
        <v>1.0215277777777776</v>
      </c>
      <c r="R104" s="71"/>
    </row>
    <row r="105" spans="2:21" x14ac:dyDescent="0.25">
      <c r="B105" s="139">
        <v>43923</v>
      </c>
      <c r="C105" s="47" t="s">
        <v>8</v>
      </c>
      <c r="D105" s="35">
        <v>0.33680555555555558</v>
      </c>
      <c r="E105" s="35">
        <v>0.44236111111111115</v>
      </c>
      <c r="F105" s="35">
        <v>0.45902777777777781</v>
      </c>
      <c r="G105" s="30">
        <f t="shared" si="31"/>
        <v>1.6666666666666663E-2</v>
      </c>
      <c r="H105" s="13">
        <f t="shared" si="29"/>
        <v>2.7777777777777748E-3</v>
      </c>
      <c r="I105" s="35">
        <v>0.62638888888888888</v>
      </c>
      <c r="J105" s="35">
        <v>0.69861111111111107</v>
      </c>
      <c r="K105" s="35">
        <f t="shared" si="32"/>
        <v>7.2222222222222188E-2</v>
      </c>
      <c r="L105" s="32">
        <v>0.75624999999999998</v>
      </c>
      <c r="M105" s="32">
        <f t="shared" si="33"/>
        <v>0.34444444444444444</v>
      </c>
      <c r="N105" s="23">
        <f t="shared" si="18"/>
        <v>2.5694444444444409E-2</v>
      </c>
      <c r="O105" s="33">
        <f t="shared" si="34"/>
        <v>9.0972222222221899E-2</v>
      </c>
      <c r="P105" s="67">
        <f>P104+N105</f>
        <v>9.0972222222221899E-2</v>
      </c>
      <c r="Q105" s="87">
        <f>Q104+M105</f>
        <v>1.3659722222222221</v>
      </c>
      <c r="R105" s="71"/>
    </row>
    <row r="106" spans="2:21" x14ac:dyDescent="0.25">
      <c r="B106" s="139">
        <v>43924</v>
      </c>
      <c r="C106" s="47" t="s">
        <v>9</v>
      </c>
      <c r="D106" s="35">
        <v>0.34166666666666662</v>
      </c>
      <c r="E106" s="35">
        <v>0.44166666666666665</v>
      </c>
      <c r="F106" s="35">
        <v>0.45763888888888887</v>
      </c>
      <c r="G106" s="30">
        <f t="shared" si="31"/>
        <v>1.5972222222222221E-2</v>
      </c>
      <c r="H106" s="13">
        <f t="shared" si="29"/>
        <v>2.0833333333333329E-3</v>
      </c>
      <c r="I106" s="35"/>
      <c r="J106" s="36"/>
      <c r="K106" s="35">
        <f t="shared" si="32"/>
        <v>0</v>
      </c>
      <c r="L106" s="32">
        <v>0.58611111111111114</v>
      </c>
      <c r="M106" s="32">
        <f t="shared" si="33"/>
        <v>0.24236111111111119</v>
      </c>
      <c r="N106" s="23">
        <f t="shared" ref="N106:N169" si="35">M106-$D$6</f>
        <v>-7.638888888888884E-2</v>
      </c>
      <c r="O106" s="33">
        <f t="shared" si="34"/>
        <v>1.4583333333333059E-2</v>
      </c>
      <c r="P106" s="67">
        <f>P105+N106</f>
        <v>1.4583333333333059E-2</v>
      </c>
      <c r="Q106" s="87">
        <f>Q105+M106</f>
        <v>1.6083333333333334</v>
      </c>
      <c r="R106" s="72">
        <f t="shared" ref="R106" si="36">Q106/5</f>
        <v>0.32166666666666666</v>
      </c>
    </row>
    <row r="107" spans="2:21" x14ac:dyDescent="0.25">
      <c r="B107" s="139">
        <v>43925</v>
      </c>
      <c r="C107" s="48" t="s">
        <v>21</v>
      </c>
      <c r="D107" s="43"/>
      <c r="E107" s="43"/>
      <c r="F107" s="43"/>
      <c r="G107" s="34"/>
      <c r="H107" s="25"/>
      <c r="I107" s="28"/>
      <c r="J107" s="28"/>
      <c r="K107" s="43"/>
      <c r="L107" s="27"/>
      <c r="M107" s="27"/>
      <c r="N107" s="44"/>
      <c r="O107" s="26"/>
      <c r="P107" s="65"/>
      <c r="Q107" s="71"/>
      <c r="R107" s="71"/>
    </row>
    <row r="108" spans="2:21" x14ac:dyDescent="0.25">
      <c r="B108" s="139">
        <v>43926</v>
      </c>
      <c r="C108" s="48" t="s">
        <v>22</v>
      </c>
      <c r="D108" s="43"/>
      <c r="E108" s="43"/>
      <c r="F108" s="43"/>
      <c r="G108" s="34"/>
      <c r="H108" s="28"/>
      <c r="I108" s="28"/>
      <c r="J108" s="28"/>
      <c r="K108" s="43"/>
      <c r="L108" s="27"/>
      <c r="M108" s="27"/>
      <c r="N108" s="44"/>
      <c r="O108" s="26"/>
      <c r="P108" s="65"/>
      <c r="Q108" s="71"/>
      <c r="R108" s="71"/>
    </row>
    <row r="109" spans="2:21" x14ac:dyDescent="0.25">
      <c r="B109" s="139">
        <v>43927</v>
      </c>
      <c r="C109" s="47" t="s">
        <v>6</v>
      </c>
      <c r="D109" s="35">
        <v>0.35069444444444442</v>
      </c>
      <c r="E109" s="35">
        <v>0.44097222222222227</v>
      </c>
      <c r="F109" s="35">
        <v>0.45555555555555555</v>
      </c>
      <c r="G109" s="30">
        <f t="shared" si="31"/>
        <v>1.4583333333333282E-2</v>
      </c>
      <c r="H109" s="13">
        <f t="shared" si="29"/>
        <v>6.9444444444439341E-4</v>
      </c>
      <c r="I109" s="35">
        <v>0.62847222222222221</v>
      </c>
      <c r="J109" s="35">
        <v>0.69861111111111107</v>
      </c>
      <c r="K109" s="35">
        <f t="shared" si="32"/>
        <v>7.0138888888888862E-2</v>
      </c>
      <c r="L109" s="32">
        <v>0.75277777777777777</v>
      </c>
      <c r="M109" s="32">
        <f t="shared" si="33"/>
        <v>0.3312500000000001</v>
      </c>
      <c r="N109" s="23">
        <f t="shared" si="35"/>
        <v>1.2500000000000067E-2</v>
      </c>
      <c r="O109" s="33">
        <f t="shared" si="34"/>
        <v>1.2500000000000067E-2</v>
      </c>
      <c r="P109" s="67">
        <f>P108+N109</f>
        <v>1.2500000000000067E-2</v>
      </c>
      <c r="Q109" s="87">
        <f>M109</f>
        <v>0.3312500000000001</v>
      </c>
      <c r="R109" s="71"/>
    </row>
    <row r="110" spans="2:21" x14ac:dyDescent="0.25">
      <c r="B110" s="139">
        <v>43928</v>
      </c>
      <c r="C110" s="47" t="s">
        <v>7</v>
      </c>
      <c r="D110" s="35">
        <v>0.31597222222222221</v>
      </c>
      <c r="E110" s="35">
        <v>0.44027777777777777</v>
      </c>
      <c r="F110" s="35">
        <v>0.4548611111111111</v>
      </c>
      <c r="G110" s="30">
        <f t="shared" si="31"/>
        <v>1.4583333333333337E-2</v>
      </c>
      <c r="H110" s="13">
        <f t="shared" si="29"/>
        <v>6.9444444444444892E-4</v>
      </c>
      <c r="I110" s="35"/>
      <c r="J110" s="35"/>
      <c r="K110" s="35">
        <f t="shared" si="32"/>
        <v>0</v>
      </c>
      <c r="L110" s="32">
        <v>0.64722222222222225</v>
      </c>
      <c r="M110" s="32">
        <f t="shared" si="33"/>
        <v>0.3305555555555556</v>
      </c>
      <c r="N110" s="23">
        <f t="shared" si="35"/>
        <v>1.1805555555555569E-2</v>
      </c>
      <c r="O110" s="33">
        <f t="shared" si="34"/>
        <v>2.4305555555555636E-2</v>
      </c>
      <c r="P110" s="67">
        <f>P109+N110</f>
        <v>2.4305555555555636E-2</v>
      </c>
      <c r="Q110" s="87">
        <f>M109+M110</f>
        <v>0.66180555555555576</v>
      </c>
      <c r="R110" s="71"/>
    </row>
    <row r="111" spans="2:21" x14ac:dyDescent="0.25">
      <c r="B111" s="139">
        <v>43929</v>
      </c>
      <c r="C111" s="47" t="s">
        <v>23</v>
      </c>
      <c r="D111" s="35">
        <v>0.34513888888888888</v>
      </c>
      <c r="E111" s="35">
        <v>0.4465277777777778</v>
      </c>
      <c r="F111" s="35">
        <v>0.46458333333333335</v>
      </c>
      <c r="G111" s="30">
        <f t="shared" si="31"/>
        <v>1.8055555555555547E-2</v>
      </c>
      <c r="H111" s="13">
        <f t="shared" si="29"/>
        <v>4.1666666666666588E-3</v>
      </c>
      <c r="I111" s="35">
        <v>0.62777777777777777</v>
      </c>
      <c r="J111" s="35">
        <v>0.7006944444444444</v>
      </c>
      <c r="K111" s="35">
        <f t="shared" si="32"/>
        <v>7.291666666666663E-2</v>
      </c>
      <c r="L111" s="32">
        <v>0.75138888888888899</v>
      </c>
      <c r="M111" s="32">
        <f t="shared" si="33"/>
        <v>0.32916666666666683</v>
      </c>
      <c r="N111" s="23">
        <f t="shared" si="35"/>
        <v>1.0416666666666796E-2</v>
      </c>
      <c r="O111" s="33">
        <f t="shared" si="34"/>
        <v>3.4722222222222432E-2</v>
      </c>
      <c r="P111" s="67">
        <f>P110+N111</f>
        <v>3.4722222222222432E-2</v>
      </c>
      <c r="Q111" s="87">
        <f>Q110+M111</f>
        <v>0.99097222222222259</v>
      </c>
      <c r="R111" s="71"/>
    </row>
    <row r="112" spans="2:21" x14ac:dyDescent="0.25">
      <c r="B112" s="139">
        <v>43930</v>
      </c>
      <c r="C112" s="47" t="s">
        <v>8</v>
      </c>
      <c r="D112" s="35">
        <v>0.34027777777777773</v>
      </c>
      <c r="E112" s="35"/>
      <c r="F112" s="35"/>
      <c r="G112" s="30">
        <f t="shared" si="31"/>
        <v>0</v>
      </c>
      <c r="H112" s="13" t="b">
        <f t="shared" si="29"/>
        <v>0</v>
      </c>
      <c r="I112" s="35">
        <v>0.62777777777777777</v>
      </c>
      <c r="J112" s="35">
        <v>0.69861111111111107</v>
      </c>
      <c r="K112" s="35">
        <f t="shared" si="32"/>
        <v>7.0833333333333304E-2</v>
      </c>
      <c r="L112" s="32">
        <v>0.75208333333333333</v>
      </c>
      <c r="M112" s="32">
        <f t="shared" si="33"/>
        <v>0.34097222222222229</v>
      </c>
      <c r="N112" s="23">
        <f t="shared" si="35"/>
        <v>2.2222222222222254E-2</v>
      </c>
      <c r="O112" s="33">
        <f t="shared" si="34"/>
        <v>5.6944444444444686E-2</v>
      </c>
      <c r="P112" s="67">
        <f>P111+N112</f>
        <v>5.6944444444444686E-2</v>
      </c>
      <c r="Q112" s="87">
        <f>Q111+M112</f>
        <v>1.3319444444444448</v>
      </c>
      <c r="R112" s="71"/>
    </row>
    <row r="113" spans="2:19" x14ac:dyDescent="0.25">
      <c r="B113" s="139">
        <v>43931</v>
      </c>
      <c r="C113" s="47" t="s">
        <v>9</v>
      </c>
      <c r="D113" s="35">
        <v>0.32013888888888892</v>
      </c>
      <c r="E113" s="35">
        <v>0.4381944444444445</v>
      </c>
      <c r="F113" s="35">
        <v>0.4548611111111111</v>
      </c>
      <c r="G113" s="30">
        <f t="shared" si="31"/>
        <v>1.6666666666666607E-2</v>
      </c>
      <c r="H113" s="13">
        <f t="shared" si="29"/>
        <v>2.7777777777777193E-3</v>
      </c>
      <c r="I113" s="36"/>
      <c r="J113" s="36"/>
      <c r="K113" s="35">
        <f t="shared" si="32"/>
        <v>0</v>
      </c>
      <c r="L113" s="32">
        <v>0.58611111111111114</v>
      </c>
      <c r="M113" s="32">
        <f t="shared" si="33"/>
        <v>0.26319444444444451</v>
      </c>
      <c r="N113" s="23">
        <f t="shared" si="35"/>
        <v>-5.5555555555555525E-2</v>
      </c>
      <c r="O113" s="33">
        <f t="shared" si="34"/>
        <v>1.3888888888891615E-3</v>
      </c>
      <c r="P113" s="67">
        <f>P112+N113</f>
        <v>1.3888888888891615E-3</v>
      </c>
      <c r="Q113" s="87">
        <f>Q112+M113</f>
        <v>1.5951388888888893</v>
      </c>
      <c r="R113" s="72">
        <f>Q113/5</f>
        <v>0.31902777777777785</v>
      </c>
    </row>
    <row r="114" spans="2:19" x14ac:dyDescent="0.25">
      <c r="B114" s="139">
        <v>43932</v>
      </c>
      <c r="C114" s="48" t="s">
        <v>21</v>
      </c>
      <c r="D114" s="43"/>
      <c r="E114" s="43"/>
      <c r="F114" s="43"/>
      <c r="G114" s="34"/>
      <c r="H114" s="25"/>
      <c r="I114" s="28"/>
      <c r="J114" s="28"/>
      <c r="K114" s="43"/>
      <c r="L114" s="27"/>
      <c r="M114" s="27"/>
      <c r="N114" s="44"/>
      <c r="O114" s="26"/>
      <c r="P114" s="65"/>
      <c r="Q114" s="71"/>
      <c r="R114" s="71"/>
    </row>
    <row r="115" spans="2:19" x14ac:dyDescent="0.25">
      <c r="B115" s="139">
        <v>43933</v>
      </c>
      <c r="C115" s="48" t="s">
        <v>22</v>
      </c>
      <c r="D115" s="43"/>
      <c r="E115" s="43"/>
      <c r="F115" s="43"/>
      <c r="G115" s="34"/>
      <c r="H115" s="28"/>
      <c r="I115" s="28"/>
      <c r="J115" s="28"/>
      <c r="K115" s="43"/>
      <c r="L115" s="27"/>
      <c r="M115" s="27"/>
      <c r="N115" s="44"/>
      <c r="O115" s="26"/>
      <c r="P115" s="65"/>
      <c r="Q115" s="71"/>
      <c r="R115" s="71"/>
    </row>
    <row r="116" spans="2:19" x14ac:dyDescent="0.25">
      <c r="B116" s="139">
        <v>43934</v>
      </c>
      <c r="C116" s="149" t="s">
        <v>6</v>
      </c>
      <c r="D116" s="150">
        <v>0.3125</v>
      </c>
      <c r="E116" s="150"/>
      <c r="F116" s="150"/>
      <c r="G116" s="151">
        <f t="shared" ref="G116:G131" si="37">F116-E116</f>
        <v>0</v>
      </c>
      <c r="H116" s="152" t="b">
        <f t="shared" si="29"/>
        <v>0</v>
      </c>
      <c r="I116" s="150"/>
      <c r="J116" s="150"/>
      <c r="K116" s="150">
        <f t="shared" ref="K116:K131" si="38">J116-I116</f>
        <v>0</v>
      </c>
      <c r="L116" s="153">
        <v>0.6430555555555556</v>
      </c>
      <c r="M116" s="32">
        <f t="shared" ref="M116:M120" si="39">(L116-D116)-H116-K116</f>
        <v>0.3305555555555556</v>
      </c>
      <c r="N116" s="154">
        <f t="shared" si="35"/>
        <v>1.1805555555555569E-2</v>
      </c>
      <c r="O116" s="155">
        <f t="shared" ref="O116:O131" si="40">O115+N116</f>
        <v>1.1805555555555569E-2</v>
      </c>
      <c r="P116" s="67">
        <f>P115+N116</f>
        <v>1.1805555555555569E-2</v>
      </c>
      <c r="Q116" s="71"/>
      <c r="R116" s="71"/>
    </row>
    <row r="117" spans="2:19" x14ac:dyDescent="0.25">
      <c r="B117" s="139">
        <v>43935</v>
      </c>
      <c r="C117" s="149" t="s">
        <v>7</v>
      </c>
      <c r="D117" s="150">
        <v>0.3125</v>
      </c>
      <c r="E117" s="150"/>
      <c r="F117" s="150"/>
      <c r="G117" s="151">
        <f t="shared" si="37"/>
        <v>0</v>
      </c>
      <c r="H117" s="152" t="b">
        <f t="shared" si="29"/>
        <v>0</v>
      </c>
      <c r="I117" s="150"/>
      <c r="J117" s="150"/>
      <c r="K117" s="150">
        <f t="shared" si="38"/>
        <v>0</v>
      </c>
      <c r="L117" s="153">
        <v>0.6430555555555556</v>
      </c>
      <c r="M117" s="32">
        <f t="shared" si="39"/>
        <v>0.3305555555555556</v>
      </c>
      <c r="N117" s="154">
        <f t="shared" si="35"/>
        <v>1.1805555555555569E-2</v>
      </c>
      <c r="O117" s="155">
        <f t="shared" si="40"/>
        <v>2.3611111111111138E-2</v>
      </c>
      <c r="P117" s="67">
        <f>P116+N117</f>
        <v>2.3611111111111138E-2</v>
      </c>
      <c r="Q117" s="71"/>
      <c r="R117" s="71"/>
      <c r="S117" t="s">
        <v>60</v>
      </c>
    </row>
    <row r="118" spans="2:19" x14ac:dyDescent="0.25">
      <c r="B118" s="139">
        <v>43936</v>
      </c>
      <c r="C118" s="149" t="s">
        <v>23</v>
      </c>
      <c r="D118" s="150">
        <v>0.3125</v>
      </c>
      <c r="E118" s="150"/>
      <c r="F118" s="150"/>
      <c r="G118" s="151">
        <f t="shared" si="37"/>
        <v>0</v>
      </c>
      <c r="H118" s="152" t="b">
        <f t="shared" si="29"/>
        <v>0</v>
      </c>
      <c r="I118" s="150"/>
      <c r="J118" s="150"/>
      <c r="K118" s="150">
        <f t="shared" si="38"/>
        <v>0</v>
      </c>
      <c r="L118" s="153">
        <v>0.6430555555555556</v>
      </c>
      <c r="M118" s="32">
        <f t="shared" si="39"/>
        <v>0.3305555555555556</v>
      </c>
      <c r="N118" s="154">
        <f t="shared" si="35"/>
        <v>1.1805555555555569E-2</v>
      </c>
      <c r="O118" s="155">
        <f t="shared" si="40"/>
        <v>3.5416666666666707E-2</v>
      </c>
      <c r="P118" s="67">
        <f>P117+N118</f>
        <v>3.5416666666666707E-2</v>
      </c>
      <c r="Q118" s="71"/>
      <c r="R118" s="71"/>
    </row>
    <row r="119" spans="2:19" x14ac:dyDescent="0.25">
      <c r="B119" s="139">
        <v>43937</v>
      </c>
      <c r="C119" s="149" t="s">
        <v>8</v>
      </c>
      <c r="D119" s="150">
        <v>0.3125</v>
      </c>
      <c r="E119" s="150"/>
      <c r="F119" s="150"/>
      <c r="G119" s="151">
        <f t="shared" si="37"/>
        <v>0</v>
      </c>
      <c r="H119" s="152" t="b">
        <f t="shared" si="29"/>
        <v>0</v>
      </c>
      <c r="I119" s="150"/>
      <c r="J119" s="150"/>
      <c r="K119" s="150">
        <f t="shared" si="38"/>
        <v>0</v>
      </c>
      <c r="L119" s="153">
        <v>0.6430555555555556</v>
      </c>
      <c r="M119" s="32">
        <f t="shared" si="39"/>
        <v>0.3305555555555556</v>
      </c>
      <c r="N119" s="154">
        <f t="shared" si="35"/>
        <v>1.1805555555555569E-2</v>
      </c>
      <c r="O119" s="155">
        <f t="shared" si="40"/>
        <v>4.7222222222222276E-2</v>
      </c>
      <c r="P119" s="67">
        <f>P118+N119</f>
        <v>4.7222222222222276E-2</v>
      </c>
      <c r="Q119" s="71"/>
      <c r="R119" s="71"/>
    </row>
    <row r="120" spans="2:19" x14ac:dyDescent="0.25">
      <c r="B120" s="139">
        <v>43938</v>
      </c>
      <c r="C120" s="149" t="s">
        <v>9</v>
      </c>
      <c r="D120" s="150">
        <v>0.3125</v>
      </c>
      <c r="E120" s="150"/>
      <c r="F120" s="150"/>
      <c r="G120" s="151">
        <f t="shared" si="37"/>
        <v>0</v>
      </c>
      <c r="H120" s="150" t="b">
        <f t="shared" si="29"/>
        <v>0</v>
      </c>
      <c r="I120" s="156"/>
      <c r="J120" s="156"/>
      <c r="K120" s="150">
        <f t="shared" si="38"/>
        <v>0</v>
      </c>
      <c r="L120" s="153">
        <v>0.58402777777777781</v>
      </c>
      <c r="M120" s="32">
        <f t="shared" si="39"/>
        <v>0.27152777777777781</v>
      </c>
      <c r="N120" s="154">
        <f t="shared" si="35"/>
        <v>-4.7222222222222221E-2</v>
      </c>
      <c r="O120" s="155">
        <f t="shared" si="40"/>
        <v>5.5511151231257827E-17</v>
      </c>
      <c r="P120" s="67">
        <f>P119+N120</f>
        <v>5.5511151231257827E-17</v>
      </c>
      <c r="Q120" s="72">
        <f>SUM(M116:M120)</f>
        <v>1.5937500000000002</v>
      </c>
      <c r="R120" s="72">
        <f>Q120/5</f>
        <v>0.31875000000000003</v>
      </c>
    </row>
    <row r="121" spans="2:19" x14ac:dyDescent="0.25">
      <c r="B121" s="139">
        <v>43939</v>
      </c>
      <c r="C121" s="48" t="s">
        <v>21</v>
      </c>
      <c r="D121" s="43"/>
      <c r="E121" s="43"/>
      <c r="F121" s="43"/>
      <c r="G121" s="34"/>
      <c r="H121" s="25"/>
      <c r="I121" s="28"/>
      <c r="J121" s="28"/>
      <c r="K121" s="43"/>
      <c r="L121" s="27"/>
      <c r="M121" s="27"/>
      <c r="N121" s="44"/>
      <c r="O121" s="26"/>
      <c r="P121" s="65"/>
      <c r="Q121" s="71"/>
      <c r="R121" s="71"/>
    </row>
    <row r="122" spans="2:19" x14ac:dyDescent="0.25">
      <c r="B122" s="139">
        <v>43940</v>
      </c>
      <c r="C122" s="48" t="s">
        <v>22</v>
      </c>
      <c r="D122" s="43"/>
      <c r="E122" s="43"/>
      <c r="F122" s="43"/>
      <c r="G122" s="34"/>
      <c r="H122" s="28"/>
      <c r="I122" s="28"/>
      <c r="J122" s="28"/>
      <c r="K122" s="43"/>
      <c r="L122" s="27"/>
      <c r="M122" s="27"/>
      <c r="N122" s="44"/>
      <c r="O122" s="26"/>
      <c r="P122" s="65"/>
      <c r="Q122" s="71"/>
      <c r="R122" s="71"/>
    </row>
    <row r="123" spans="2:19" x14ac:dyDescent="0.25">
      <c r="B123" s="139">
        <v>43941</v>
      </c>
      <c r="C123" s="47" t="s">
        <v>6</v>
      </c>
      <c r="D123" s="35">
        <v>0.31319444444444444</v>
      </c>
      <c r="E123" s="35">
        <v>0.44791666666666669</v>
      </c>
      <c r="F123" s="35">
        <v>0.46458333333333335</v>
      </c>
      <c r="G123" s="30">
        <f t="shared" si="37"/>
        <v>1.6666666666666663E-2</v>
      </c>
      <c r="H123" s="13">
        <f t="shared" si="29"/>
        <v>2.7777777777777748E-3</v>
      </c>
      <c r="I123" s="35"/>
      <c r="J123" s="35"/>
      <c r="K123" s="35">
        <f t="shared" si="38"/>
        <v>0</v>
      </c>
      <c r="L123" s="32">
        <v>0.64722222222222225</v>
      </c>
      <c r="M123" s="32">
        <f t="shared" ref="M123:M132" si="41">(L123-D123)-H123-K123</f>
        <v>0.33125000000000004</v>
      </c>
      <c r="N123" s="23">
        <f t="shared" si="35"/>
        <v>1.2500000000000011E-2</v>
      </c>
      <c r="O123" s="33">
        <f t="shared" si="40"/>
        <v>1.2500000000000011E-2</v>
      </c>
      <c r="P123" s="67">
        <f>P122+N123</f>
        <v>1.2500000000000011E-2</v>
      </c>
      <c r="Q123" s="71"/>
      <c r="R123" s="71"/>
    </row>
    <row r="124" spans="2:19" x14ac:dyDescent="0.25">
      <c r="B124" s="139">
        <v>43942</v>
      </c>
      <c r="C124" s="47" t="s">
        <v>7</v>
      </c>
      <c r="D124" s="35">
        <v>0.31736111111111115</v>
      </c>
      <c r="E124" s="35">
        <v>0.44236111111111115</v>
      </c>
      <c r="F124" s="35">
        <v>0.46249999999999997</v>
      </c>
      <c r="G124" s="30">
        <f t="shared" si="37"/>
        <v>2.0138888888888817E-2</v>
      </c>
      <c r="H124" s="13">
        <f t="shared" si="29"/>
        <v>6.2499999999999292E-3</v>
      </c>
      <c r="I124" s="35"/>
      <c r="J124" s="35"/>
      <c r="K124" s="35">
        <f t="shared" si="38"/>
        <v>0</v>
      </c>
      <c r="L124" s="32">
        <v>0.6479166666666667</v>
      </c>
      <c r="M124" s="32">
        <f t="shared" si="41"/>
        <v>0.32430555555555562</v>
      </c>
      <c r="N124" s="23">
        <f t="shared" si="35"/>
        <v>5.5555555555555913E-3</v>
      </c>
      <c r="O124" s="33">
        <f t="shared" si="40"/>
        <v>1.8055555555555602E-2</v>
      </c>
      <c r="P124" s="67">
        <f>P123+N124</f>
        <v>1.8055555555555602E-2</v>
      </c>
      <c r="Q124" s="71"/>
      <c r="R124" s="71"/>
    </row>
    <row r="125" spans="2:19" x14ac:dyDescent="0.25">
      <c r="B125" s="139">
        <v>43943</v>
      </c>
      <c r="C125" s="47" t="s">
        <v>23</v>
      </c>
      <c r="D125" s="35">
        <v>0.30972222222222223</v>
      </c>
      <c r="E125" s="35"/>
      <c r="F125" s="35"/>
      <c r="G125" s="30">
        <f t="shared" si="37"/>
        <v>0</v>
      </c>
      <c r="H125" s="13" t="b">
        <f t="shared" si="29"/>
        <v>0</v>
      </c>
      <c r="I125" s="35"/>
      <c r="J125" s="35"/>
      <c r="K125" s="35">
        <f t="shared" si="38"/>
        <v>0</v>
      </c>
      <c r="L125" s="32">
        <v>0.65</v>
      </c>
      <c r="M125" s="32">
        <f t="shared" si="41"/>
        <v>0.34027777777777779</v>
      </c>
      <c r="N125" s="23">
        <f t="shared" si="35"/>
        <v>2.1527777777777757E-2</v>
      </c>
      <c r="O125" s="33">
        <f t="shared" si="40"/>
        <v>3.9583333333333359E-2</v>
      </c>
      <c r="P125" s="67">
        <f>P124+N125</f>
        <v>3.9583333333333359E-2</v>
      </c>
      <c r="Q125" s="71"/>
      <c r="R125" s="71"/>
    </row>
    <row r="126" spans="2:19" x14ac:dyDescent="0.25">
      <c r="B126" s="139">
        <v>43944</v>
      </c>
      <c r="C126" s="47" t="s">
        <v>8</v>
      </c>
      <c r="D126" s="35">
        <v>0.31180555555555556</v>
      </c>
      <c r="E126" s="35">
        <v>0.44305555555555554</v>
      </c>
      <c r="F126" s="35">
        <v>0.47291666666666665</v>
      </c>
      <c r="G126" s="30">
        <f t="shared" si="37"/>
        <v>2.9861111111111116E-2</v>
      </c>
      <c r="H126" s="13">
        <f t="shared" si="29"/>
        <v>1.5972222222222228E-2</v>
      </c>
      <c r="I126" s="35"/>
      <c r="J126" s="35"/>
      <c r="K126" s="35">
        <f t="shared" si="38"/>
        <v>0</v>
      </c>
      <c r="L126" s="32">
        <v>0.66388888888888886</v>
      </c>
      <c r="M126" s="32">
        <f t="shared" si="41"/>
        <v>0.33611111111111108</v>
      </c>
      <c r="N126" s="23">
        <f t="shared" si="35"/>
        <v>1.7361111111111049E-2</v>
      </c>
      <c r="O126" s="33">
        <f t="shared" si="40"/>
        <v>5.6944444444444409E-2</v>
      </c>
      <c r="P126" s="67">
        <f>P125+N126</f>
        <v>5.6944444444444409E-2</v>
      </c>
      <c r="Q126" s="71"/>
      <c r="R126" s="71"/>
    </row>
    <row r="127" spans="2:19" x14ac:dyDescent="0.25">
      <c r="B127" s="139">
        <v>43945</v>
      </c>
      <c r="C127" s="47" t="s">
        <v>9</v>
      </c>
      <c r="D127" s="35">
        <v>0.30763888888888891</v>
      </c>
      <c r="E127" s="35">
        <v>0.45277777777777778</v>
      </c>
      <c r="F127" s="35">
        <v>0.4680555555555555</v>
      </c>
      <c r="G127" s="30">
        <f t="shared" si="37"/>
        <v>1.5277777777777724E-2</v>
      </c>
      <c r="H127" s="13">
        <f t="shared" si="29"/>
        <v>1.3888888888888354E-3</v>
      </c>
      <c r="I127" s="36"/>
      <c r="J127" s="36"/>
      <c r="K127" s="35">
        <f t="shared" si="38"/>
        <v>0</v>
      </c>
      <c r="L127" s="32">
        <v>0.58263888888888882</v>
      </c>
      <c r="M127" s="32">
        <f t="shared" si="41"/>
        <v>0.27361111111111108</v>
      </c>
      <c r="N127" s="23">
        <f t="shared" si="35"/>
        <v>-4.5138888888888951E-2</v>
      </c>
      <c r="O127" s="33">
        <f t="shared" si="40"/>
        <v>1.1805555555555458E-2</v>
      </c>
      <c r="P127" s="67">
        <f>P126+N127</f>
        <v>1.1805555555555458E-2</v>
      </c>
      <c r="Q127" s="72">
        <f>SUM(M123:M127)</f>
        <v>1.6055555555555556</v>
      </c>
      <c r="R127" s="72">
        <f t="shared" ref="R127" si="42">Q127/5</f>
        <v>0.32111111111111112</v>
      </c>
      <c r="S127" s="72"/>
    </row>
    <row r="128" spans="2:19" x14ac:dyDescent="0.25">
      <c r="B128" s="139">
        <v>43946</v>
      </c>
      <c r="C128" s="48" t="s">
        <v>21</v>
      </c>
      <c r="D128" s="43"/>
      <c r="E128" s="43"/>
      <c r="F128" s="43"/>
      <c r="G128" s="34"/>
      <c r="H128" s="25"/>
      <c r="I128" s="28"/>
      <c r="J128" s="28"/>
      <c r="K128" s="43"/>
      <c r="L128" s="27"/>
      <c r="M128" s="27"/>
      <c r="N128" s="44"/>
      <c r="O128" s="26"/>
      <c r="P128" s="65"/>
      <c r="Q128" s="71"/>
      <c r="R128" s="71"/>
    </row>
    <row r="129" spans="2:21" x14ac:dyDescent="0.25">
      <c r="B129" s="139">
        <v>43947</v>
      </c>
      <c r="C129" s="48" t="s">
        <v>22</v>
      </c>
      <c r="D129" s="43"/>
      <c r="E129" s="43"/>
      <c r="F129" s="43"/>
      <c r="G129" s="34"/>
      <c r="H129" s="28"/>
      <c r="I129" s="28"/>
      <c r="J129" s="28"/>
      <c r="K129" s="43"/>
      <c r="L129" s="27"/>
      <c r="M129" s="27"/>
      <c r="N129" s="44"/>
      <c r="O129" s="26"/>
      <c r="P129" s="65"/>
      <c r="Q129" s="71"/>
      <c r="R129" s="71"/>
    </row>
    <row r="130" spans="2:21" x14ac:dyDescent="0.25">
      <c r="B130" s="139">
        <v>43948</v>
      </c>
      <c r="C130" s="47" t="s">
        <v>6</v>
      </c>
      <c r="D130" s="35">
        <v>0.31666666666666665</v>
      </c>
      <c r="E130" s="35">
        <v>0.44305555555555554</v>
      </c>
      <c r="F130" s="35">
        <v>0.4597222222222222</v>
      </c>
      <c r="G130" s="30">
        <f t="shared" si="37"/>
        <v>1.6666666666666663E-2</v>
      </c>
      <c r="H130" s="13">
        <f t="shared" si="29"/>
        <v>2.7777777777777748E-3</v>
      </c>
      <c r="I130" s="35"/>
      <c r="J130" s="35"/>
      <c r="K130" s="35">
        <f t="shared" si="38"/>
        <v>0</v>
      </c>
      <c r="L130" s="32">
        <v>0.64583333333333337</v>
      </c>
      <c r="M130" s="32">
        <f t="shared" si="41"/>
        <v>0.32638888888888895</v>
      </c>
      <c r="N130" s="23">
        <f t="shared" si="35"/>
        <v>7.6388888888889173E-3</v>
      </c>
      <c r="O130" s="33">
        <f t="shared" si="40"/>
        <v>7.6388888888889173E-3</v>
      </c>
      <c r="P130" s="67">
        <f>P129+N130</f>
        <v>7.6388888888889173E-3</v>
      </c>
      <c r="Q130" s="71"/>
      <c r="R130" s="71"/>
      <c r="S130" s="58"/>
    </row>
    <row r="131" spans="2:21" x14ac:dyDescent="0.25">
      <c r="B131" s="139">
        <v>43949</v>
      </c>
      <c r="C131" s="47" t="s">
        <v>7</v>
      </c>
      <c r="D131" s="35">
        <v>0.29236111111111113</v>
      </c>
      <c r="E131" s="35">
        <v>0.44305555555555554</v>
      </c>
      <c r="F131" s="35">
        <v>0.45833333333333331</v>
      </c>
      <c r="G131" s="30">
        <f t="shared" si="37"/>
        <v>1.5277777777777779E-2</v>
      </c>
      <c r="H131" s="13">
        <f t="shared" si="29"/>
        <v>1.3888888888888909E-3</v>
      </c>
      <c r="I131" s="35"/>
      <c r="J131" s="35"/>
      <c r="K131" s="35">
        <f t="shared" si="38"/>
        <v>0</v>
      </c>
      <c r="L131" s="32">
        <v>0.62777777777777777</v>
      </c>
      <c r="M131" s="32">
        <f t="shared" si="41"/>
        <v>0.33402777777777776</v>
      </c>
      <c r="N131" s="23">
        <f t="shared" si="35"/>
        <v>1.5277777777777724E-2</v>
      </c>
      <c r="O131" s="33">
        <f t="shared" si="40"/>
        <v>2.2916666666666641E-2</v>
      </c>
      <c r="P131" s="67">
        <f>P130+N131</f>
        <v>2.2916666666666641E-2</v>
      </c>
      <c r="Q131" s="71"/>
      <c r="R131" s="71"/>
      <c r="S131" s="33"/>
      <c r="T131" s="166" t="s">
        <v>61</v>
      </c>
      <c r="U131" s="58" t="s">
        <v>62</v>
      </c>
    </row>
    <row r="132" spans="2:21" x14ac:dyDescent="0.25">
      <c r="B132" s="139">
        <v>43950</v>
      </c>
      <c r="C132" s="47" t="s">
        <v>23</v>
      </c>
      <c r="D132" s="35">
        <v>0.31041666666666667</v>
      </c>
      <c r="E132" s="35">
        <v>0.46458333333333335</v>
      </c>
      <c r="F132" s="35">
        <v>0.47986111111111113</v>
      </c>
      <c r="G132" s="30">
        <f t="shared" ref="G132" si="43">F132-E132</f>
        <v>1.5277777777777779E-2</v>
      </c>
      <c r="H132" s="13">
        <f t="shared" si="29"/>
        <v>1.3888888888888909E-3</v>
      </c>
      <c r="I132" s="36"/>
      <c r="J132" s="36"/>
      <c r="K132" s="35">
        <f t="shared" ref="K132" si="44">J132-I132</f>
        <v>0</v>
      </c>
      <c r="L132" s="32">
        <v>0.6479166666666667</v>
      </c>
      <c r="M132" s="32">
        <f t="shared" si="41"/>
        <v>0.33611111111111114</v>
      </c>
      <c r="N132" s="23">
        <f t="shared" si="35"/>
        <v>1.7361111111111105E-2</v>
      </c>
      <c r="O132" s="33">
        <f>O131+N132</f>
        <v>4.0277777777777746E-2</v>
      </c>
      <c r="P132" s="67">
        <f>P131+N132</f>
        <v>4.0277777777777746E-2</v>
      </c>
      <c r="Q132" s="72">
        <f t="shared" ref="Q132" si="45">SUM(M128:M132)</f>
        <v>0.99652777777777779</v>
      </c>
      <c r="R132" s="71"/>
      <c r="T132" s="165">
        <f>SUM(M103:M132)</f>
        <v>7.0812500000000016</v>
      </c>
      <c r="U132" s="165">
        <f>T132/17</f>
        <v>0.4165441176470589</v>
      </c>
    </row>
    <row r="133" spans="2:21" x14ac:dyDescent="0.25">
      <c r="B133" s="139">
        <v>43951</v>
      </c>
      <c r="C133" s="149" t="s">
        <v>8</v>
      </c>
      <c r="D133" s="150">
        <v>0.3125</v>
      </c>
      <c r="E133" s="150"/>
      <c r="F133" s="150"/>
      <c r="G133" s="151">
        <f t="shared" ref="G133:G162" si="46">F133-E133</f>
        <v>0</v>
      </c>
      <c r="H133" s="152" t="b">
        <f t="shared" si="29"/>
        <v>0</v>
      </c>
      <c r="I133" s="150"/>
      <c r="J133" s="150"/>
      <c r="K133" s="150">
        <f t="shared" ref="K133:K162" si="47">J133-I133</f>
        <v>0</v>
      </c>
      <c r="L133" s="153">
        <v>0.6430555555555556</v>
      </c>
      <c r="M133" s="153">
        <f t="shared" ref="M133:M162" si="48">(L133-D133)-H133-K133</f>
        <v>0.3305555555555556</v>
      </c>
      <c r="N133" s="154">
        <f t="shared" si="35"/>
        <v>1.1805555555555569E-2</v>
      </c>
      <c r="O133" s="155">
        <f t="shared" ref="O133:O162" si="49">O132+N133</f>
        <v>5.2083333333333315E-2</v>
      </c>
      <c r="P133" s="67">
        <f>P132+N133</f>
        <v>5.2083333333333315E-2</v>
      </c>
      <c r="Q133" s="72"/>
      <c r="R133" s="71"/>
      <c r="S133" t="s">
        <v>67</v>
      </c>
    </row>
    <row r="134" spans="2:21" x14ac:dyDescent="0.25">
      <c r="B134" s="139">
        <v>43952</v>
      </c>
      <c r="C134" s="47" t="s">
        <v>9</v>
      </c>
      <c r="D134" s="35">
        <v>0.30972222222222223</v>
      </c>
      <c r="E134" s="35"/>
      <c r="F134" s="35"/>
      <c r="G134" s="30">
        <f t="shared" si="46"/>
        <v>0</v>
      </c>
      <c r="H134" s="13" t="b">
        <f t="shared" si="29"/>
        <v>0</v>
      </c>
      <c r="I134" s="35"/>
      <c r="J134" s="36"/>
      <c r="K134" s="35">
        <f t="shared" si="47"/>
        <v>0</v>
      </c>
      <c r="L134" s="32">
        <v>0.58402777777777781</v>
      </c>
      <c r="M134" s="32">
        <f t="shared" si="48"/>
        <v>0.27430555555555558</v>
      </c>
      <c r="N134" s="23">
        <f t="shared" si="35"/>
        <v>-4.4444444444444453E-2</v>
      </c>
      <c r="O134" s="33">
        <f t="shared" si="49"/>
        <v>7.6388888888888618E-3</v>
      </c>
      <c r="P134" s="67">
        <f>P133+N134</f>
        <v>7.6388888888888618E-3</v>
      </c>
      <c r="Q134" s="72">
        <f>SUM(M130:M134)</f>
        <v>1.601388888888889</v>
      </c>
      <c r="R134" s="72">
        <f>Q134/5</f>
        <v>0.32027777777777777</v>
      </c>
    </row>
    <row r="135" spans="2:21" x14ac:dyDescent="0.25">
      <c r="B135" s="139">
        <v>43953</v>
      </c>
      <c r="C135" s="48" t="s">
        <v>21</v>
      </c>
      <c r="D135" s="43"/>
      <c r="E135" s="43"/>
      <c r="F135" s="43"/>
      <c r="G135" s="34"/>
      <c r="H135" s="25"/>
      <c r="I135" s="28"/>
      <c r="J135" s="28"/>
      <c r="K135" s="43"/>
      <c r="L135" s="27"/>
      <c r="M135" s="27"/>
      <c r="N135" s="44"/>
      <c r="O135" s="26"/>
      <c r="P135" s="65"/>
      <c r="Q135" s="71"/>
      <c r="R135" s="71"/>
    </row>
    <row r="136" spans="2:21" x14ac:dyDescent="0.25">
      <c r="B136" s="139">
        <v>43954</v>
      </c>
      <c r="C136" s="48" t="s">
        <v>22</v>
      </c>
      <c r="D136" s="43"/>
      <c r="E136" s="43"/>
      <c r="F136" s="43"/>
      <c r="G136" s="34"/>
      <c r="H136" s="28"/>
      <c r="I136" s="28"/>
      <c r="J136" s="28"/>
      <c r="K136" s="43"/>
      <c r="L136" s="27"/>
      <c r="M136" s="27"/>
      <c r="N136" s="44"/>
      <c r="O136" s="26"/>
      <c r="P136" s="65"/>
      <c r="Q136" s="71"/>
      <c r="R136" s="71"/>
    </row>
    <row r="137" spans="2:21" x14ac:dyDescent="0.25">
      <c r="B137" s="139">
        <v>43955</v>
      </c>
      <c r="C137" s="47" t="s">
        <v>6</v>
      </c>
      <c r="D137" s="35">
        <v>0.35486111111111113</v>
      </c>
      <c r="E137" s="35">
        <v>0.43888888888888888</v>
      </c>
      <c r="F137" s="35">
        <v>0.47222222222222227</v>
      </c>
      <c r="G137" s="30">
        <f t="shared" si="46"/>
        <v>3.3333333333333381E-2</v>
      </c>
      <c r="H137" s="13">
        <f t="shared" si="29"/>
        <v>1.9444444444444493E-2</v>
      </c>
      <c r="I137" s="35">
        <v>0.62569444444444444</v>
      </c>
      <c r="J137" s="35">
        <v>0.69305555555555554</v>
      </c>
      <c r="K137" s="35">
        <f t="shared" si="47"/>
        <v>6.7361111111111094E-2</v>
      </c>
      <c r="L137" s="32">
        <v>0.75277777777777777</v>
      </c>
      <c r="M137" s="32">
        <f t="shared" si="48"/>
        <v>0.31111111111111106</v>
      </c>
      <c r="N137" s="23">
        <f t="shared" si="35"/>
        <v>-7.6388888888889728E-3</v>
      </c>
      <c r="O137" s="33">
        <f t="shared" si="49"/>
        <v>-7.6388888888889728E-3</v>
      </c>
      <c r="P137" s="67">
        <f>P136+N137</f>
        <v>-7.6388888888889728E-3</v>
      </c>
      <c r="Q137" s="71"/>
      <c r="R137" s="71"/>
    </row>
    <row r="138" spans="2:21" x14ac:dyDescent="0.25">
      <c r="B138" s="139">
        <v>43956</v>
      </c>
      <c r="C138" s="47" t="s">
        <v>7</v>
      </c>
      <c r="D138" s="35">
        <v>0.33055555555555555</v>
      </c>
      <c r="E138" s="35">
        <v>0.44166666666666665</v>
      </c>
      <c r="F138" s="35">
        <v>0.4680555555555555</v>
      </c>
      <c r="G138" s="30">
        <f t="shared" si="46"/>
        <v>2.6388888888888851E-2</v>
      </c>
      <c r="H138" s="13">
        <f t="shared" si="29"/>
        <v>1.2499999999999963E-2</v>
      </c>
      <c r="I138" s="35">
        <v>0.62708333333333333</v>
      </c>
      <c r="J138" s="35">
        <v>0.69513888888888886</v>
      </c>
      <c r="K138" s="35">
        <f t="shared" si="47"/>
        <v>6.8055555555555536E-2</v>
      </c>
      <c r="L138" s="32">
        <v>0.75624999999999998</v>
      </c>
      <c r="M138" s="32">
        <f t="shared" si="48"/>
        <v>0.34513888888888894</v>
      </c>
      <c r="N138" s="23">
        <f t="shared" si="35"/>
        <v>2.6388888888888906E-2</v>
      </c>
      <c r="O138" s="33">
        <f t="shared" si="49"/>
        <v>1.8749999999999933E-2</v>
      </c>
      <c r="P138" s="67">
        <f>P137+N138</f>
        <v>1.8749999999999933E-2</v>
      </c>
      <c r="Q138" s="71"/>
      <c r="R138" s="71"/>
    </row>
    <row r="139" spans="2:21" x14ac:dyDescent="0.25">
      <c r="B139" s="139">
        <v>43957</v>
      </c>
      <c r="C139" s="47" t="s">
        <v>23</v>
      </c>
      <c r="D139" s="35">
        <v>0.32708333333333334</v>
      </c>
      <c r="E139" s="35">
        <v>0.43888888888888888</v>
      </c>
      <c r="F139" s="35">
        <v>0.4604166666666667</v>
      </c>
      <c r="G139" s="30">
        <f t="shared" si="46"/>
        <v>2.1527777777777812E-2</v>
      </c>
      <c r="H139" s="13">
        <f t="shared" si="29"/>
        <v>7.6388888888889242E-3</v>
      </c>
      <c r="I139" s="35">
        <v>0.62569444444444444</v>
      </c>
      <c r="J139" s="35">
        <v>0.70624999999999993</v>
      </c>
      <c r="K139" s="35">
        <f t="shared" si="47"/>
        <v>8.0555555555555491E-2</v>
      </c>
      <c r="L139" s="32">
        <v>0.75208333333333333</v>
      </c>
      <c r="M139" s="32">
        <f t="shared" si="48"/>
        <v>0.33680555555555558</v>
      </c>
      <c r="N139" s="23">
        <f t="shared" si="35"/>
        <v>1.8055555555555547E-2</v>
      </c>
      <c r="O139" s="33">
        <f t="shared" si="49"/>
        <v>3.680555555555548E-2</v>
      </c>
      <c r="P139" s="67">
        <f>P138+N139</f>
        <v>3.680555555555548E-2</v>
      </c>
      <c r="Q139" s="71"/>
      <c r="R139" s="71"/>
    </row>
    <row r="140" spans="2:21" x14ac:dyDescent="0.25">
      <c r="B140" s="139">
        <v>43958</v>
      </c>
      <c r="C140" s="47" t="s">
        <v>8</v>
      </c>
      <c r="D140" s="35">
        <v>0.32500000000000001</v>
      </c>
      <c r="E140" s="35">
        <v>0.4375</v>
      </c>
      <c r="F140" s="35">
        <v>0.45833333333333331</v>
      </c>
      <c r="G140" s="30">
        <f t="shared" si="46"/>
        <v>2.0833333333333315E-2</v>
      </c>
      <c r="H140" s="13">
        <f t="shared" si="29"/>
        <v>6.9444444444444267E-3</v>
      </c>
      <c r="I140" s="35">
        <v>0.62430555555555556</v>
      </c>
      <c r="J140" s="35">
        <v>0.66736111111111107</v>
      </c>
      <c r="K140" s="35">
        <f t="shared" si="47"/>
        <v>4.3055555555555514E-2</v>
      </c>
      <c r="L140" s="32">
        <v>0.7631944444444444</v>
      </c>
      <c r="M140" s="32">
        <f t="shared" si="48"/>
        <v>0.38819444444444445</v>
      </c>
      <c r="N140" s="23">
        <f t="shared" si="35"/>
        <v>6.944444444444442E-2</v>
      </c>
      <c r="O140" s="33">
        <f t="shared" si="49"/>
        <v>0.1062499999999999</v>
      </c>
      <c r="P140" s="67">
        <f>P139+N140</f>
        <v>0.1062499999999999</v>
      </c>
      <c r="Q140" s="71"/>
      <c r="R140" s="71"/>
    </row>
    <row r="141" spans="2:21" x14ac:dyDescent="0.25">
      <c r="B141" s="139">
        <v>43959</v>
      </c>
      <c r="C141" s="47" t="s">
        <v>9</v>
      </c>
      <c r="D141" s="35">
        <v>0.33333333333333331</v>
      </c>
      <c r="E141" s="35"/>
      <c r="F141" s="35"/>
      <c r="G141" s="30">
        <f t="shared" si="46"/>
        <v>0</v>
      </c>
      <c r="H141" s="13" t="b">
        <f t="shared" si="29"/>
        <v>0</v>
      </c>
      <c r="I141" s="36"/>
      <c r="J141" s="36"/>
      <c r="K141" s="35">
        <f t="shared" si="47"/>
        <v>0</v>
      </c>
      <c r="L141" s="32">
        <v>0.58333333333333337</v>
      </c>
      <c r="M141" s="32">
        <f t="shared" si="48"/>
        <v>0.25000000000000006</v>
      </c>
      <c r="N141" s="23">
        <f t="shared" si="35"/>
        <v>-6.8749999999999978E-2</v>
      </c>
      <c r="O141" s="33">
        <f t="shared" si="49"/>
        <v>3.7499999999999922E-2</v>
      </c>
      <c r="P141" s="67">
        <f>P140+N141</f>
        <v>3.7499999999999922E-2</v>
      </c>
      <c r="Q141" s="72">
        <f t="shared" ref="Q141" si="50">SUM(M137:M141)</f>
        <v>1.6312500000000001</v>
      </c>
      <c r="R141" s="72">
        <f t="shared" ref="R141" si="51">Q141/5</f>
        <v>0.32625000000000004</v>
      </c>
    </row>
    <row r="142" spans="2:21" x14ac:dyDescent="0.25">
      <c r="B142" s="139">
        <v>43960</v>
      </c>
      <c r="C142" s="48" t="s">
        <v>21</v>
      </c>
      <c r="D142" s="43"/>
      <c r="E142" s="43"/>
      <c r="F142" s="43"/>
      <c r="G142" s="34"/>
      <c r="H142" s="25"/>
      <c r="I142" s="28"/>
      <c r="J142" s="28"/>
      <c r="K142" s="43"/>
      <c r="L142" s="27"/>
      <c r="M142" s="27"/>
      <c r="N142" s="44"/>
      <c r="O142" s="26"/>
      <c r="P142" s="65"/>
      <c r="Q142" s="71"/>
      <c r="R142" s="71"/>
    </row>
    <row r="143" spans="2:21" x14ac:dyDescent="0.25">
      <c r="B143" s="139">
        <v>43961</v>
      </c>
      <c r="C143" s="48" t="s">
        <v>22</v>
      </c>
      <c r="D143" s="43"/>
      <c r="E143" s="43"/>
      <c r="F143" s="43"/>
      <c r="G143" s="34"/>
      <c r="H143" s="28"/>
      <c r="I143" s="28"/>
      <c r="J143" s="28"/>
      <c r="K143" s="43"/>
      <c r="L143" s="27"/>
      <c r="M143" s="27"/>
      <c r="N143" s="44"/>
      <c r="O143" s="26"/>
      <c r="P143" s="65"/>
      <c r="Q143" s="71"/>
      <c r="R143" s="71"/>
    </row>
    <row r="144" spans="2:21" x14ac:dyDescent="0.25">
      <c r="B144" s="139">
        <v>43962</v>
      </c>
      <c r="C144" s="47" t="s">
        <v>6</v>
      </c>
      <c r="D144" s="35">
        <v>0.33611111111111108</v>
      </c>
      <c r="E144" s="35">
        <v>0.44375000000000003</v>
      </c>
      <c r="F144" s="35">
        <v>0.46597222222222223</v>
      </c>
      <c r="G144" s="30">
        <f t="shared" si="46"/>
        <v>2.2222222222222199E-2</v>
      </c>
      <c r="H144" s="13">
        <f t="shared" si="29"/>
        <v>8.3333333333333107E-3</v>
      </c>
      <c r="I144" s="35">
        <v>0.63124999999999998</v>
      </c>
      <c r="J144" s="35">
        <v>0.69930555555555562</v>
      </c>
      <c r="K144" s="35">
        <f t="shared" si="47"/>
        <v>6.8055555555555647E-2</v>
      </c>
      <c r="L144" s="32">
        <v>0.75208333333333333</v>
      </c>
      <c r="M144" s="32">
        <f t="shared" si="48"/>
        <v>0.33958333333333329</v>
      </c>
      <c r="N144" s="23">
        <f t="shared" si="35"/>
        <v>2.0833333333333259E-2</v>
      </c>
      <c r="O144" s="33">
        <f t="shared" si="49"/>
        <v>2.0833333333333259E-2</v>
      </c>
      <c r="P144" s="67">
        <f>P143+N144</f>
        <v>2.0833333333333259E-2</v>
      </c>
      <c r="Q144" s="71"/>
      <c r="R144" s="71"/>
    </row>
    <row r="145" spans="2:18" x14ac:dyDescent="0.25">
      <c r="B145" s="139">
        <v>43963</v>
      </c>
      <c r="C145" s="47" t="s">
        <v>7</v>
      </c>
      <c r="D145" s="35">
        <v>0.32777777777777778</v>
      </c>
      <c r="E145" s="35">
        <v>0.4368055555555555</v>
      </c>
      <c r="F145" s="35">
        <v>0.45208333333333334</v>
      </c>
      <c r="G145" s="30">
        <f t="shared" si="46"/>
        <v>1.5277777777777835E-2</v>
      </c>
      <c r="H145" s="13">
        <f t="shared" si="29"/>
        <v>1.3888888888889464E-3</v>
      </c>
      <c r="I145" s="35"/>
      <c r="J145" s="35"/>
      <c r="K145" s="35">
        <f t="shared" si="47"/>
        <v>0</v>
      </c>
      <c r="L145" s="32">
        <v>0.67638888888888893</v>
      </c>
      <c r="M145" s="32">
        <f t="shared" si="48"/>
        <v>0.34722222222222221</v>
      </c>
      <c r="N145" s="23">
        <f t="shared" si="35"/>
        <v>2.8472222222222177E-2</v>
      </c>
      <c r="O145" s="33">
        <f t="shared" si="49"/>
        <v>4.9305555555555436E-2</v>
      </c>
      <c r="P145" s="67">
        <f>P144+N145</f>
        <v>4.9305555555555436E-2</v>
      </c>
      <c r="Q145" s="71"/>
      <c r="R145" s="71"/>
    </row>
    <row r="146" spans="2:18" x14ac:dyDescent="0.25">
      <c r="B146" s="139">
        <v>43964</v>
      </c>
      <c r="C146" s="47" t="s">
        <v>23</v>
      </c>
      <c r="D146" s="35">
        <v>0.34236111111111112</v>
      </c>
      <c r="E146" s="35">
        <v>0.46180555555555558</v>
      </c>
      <c r="F146" s="35">
        <v>0.4770833333333333</v>
      </c>
      <c r="G146" s="30">
        <f t="shared" si="46"/>
        <v>1.5277777777777724E-2</v>
      </c>
      <c r="H146" s="13">
        <f t="shared" si="29"/>
        <v>1.3888888888888354E-3</v>
      </c>
      <c r="I146" s="35">
        <v>0.63472222222222219</v>
      </c>
      <c r="J146" s="35">
        <v>0.69930555555555562</v>
      </c>
      <c r="K146" s="35">
        <f t="shared" si="47"/>
        <v>6.4583333333333437E-2</v>
      </c>
      <c r="L146" s="32">
        <v>0.75277777777777777</v>
      </c>
      <c r="M146" s="32">
        <f t="shared" si="48"/>
        <v>0.34444444444444439</v>
      </c>
      <c r="N146" s="23">
        <f t="shared" si="35"/>
        <v>2.5694444444444353E-2</v>
      </c>
      <c r="O146" s="33">
        <f t="shared" si="49"/>
        <v>7.4999999999999789E-2</v>
      </c>
      <c r="P146" s="67">
        <f>P145+N146</f>
        <v>7.4999999999999789E-2</v>
      </c>
      <c r="Q146" s="71"/>
      <c r="R146" s="71"/>
    </row>
    <row r="147" spans="2:18" x14ac:dyDescent="0.25">
      <c r="B147" s="139">
        <v>43965</v>
      </c>
      <c r="C147" s="47" t="s">
        <v>8</v>
      </c>
      <c r="D147" s="35">
        <v>0.33680555555555558</v>
      </c>
      <c r="E147" s="35"/>
      <c r="F147" s="35"/>
      <c r="G147" s="30">
        <f t="shared" si="46"/>
        <v>0</v>
      </c>
      <c r="H147" s="13" t="b">
        <f t="shared" si="29"/>
        <v>0</v>
      </c>
      <c r="I147" s="35"/>
      <c r="J147" s="35"/>
      <c r="K147" s="35">
        <f t="shared" si="47"/>
        <v>0</v>
      </c>
      <c r="L147" s="32">
        <v>0.6645833333333333</v>
      </c>
      <c r="M147" s="32">
        <f t="shared" si="48"/>
        <v>0.32777777777777772</v>
      </c>
      <c r="N147" s="23">
        <f t="shared" si="35"/>
        <v>9.0277777777776902E-3</v>
      </c>
      <c r="O147" s="33">
        <f t="shared" si="49"/>
        <v>8.4027777777777479E-2</v>
      </c>
      <c r="P147" s="67">
        <f>P146+N147</f>
        <v>8.4027777777777479E-2</v>
      </c>
      <c r="Q147" s="71"/>
      <c r="R147" s="71"/>
    </row>
    <row r="148" spans="2:18" x14ac:dyDescent="0.25">
      <c r="B148" s="139">
        <v>43966</v>
      </c>
      <c r="C148" s="47" t="s">
        <v>9</v>
      </c>
      <c r="D148" s="35">
        <v>0.34930555555555554</v>
      </c>
      <c r="E148" s="35">
        <v>0.44097222222222227</v>
      </c>
      <c r="F148" s="35">
        <v>0.46249999999999997</v>
      </c>
      <c r="G148" s="30">
        <f t="shared" si="46"/>
        <v>2.1527777777777701E-2</v>
      </c>
      <c r="H148" s="13">
        <f t="shared" si="29"/>
        <v>7.6388888888888132E-3</v>
      </c>
      <c r="I148" s="36"/>
      <c r="J148" s="36"/>
      <c r="K148" s="35">
        <f t="shared" si="47"/>
        <v>0</v>
      </c>
      <c r="L148" s="32">
        <v>0.5854166666666667</v>
      </c>
      <c r="M148" s="32">
        <f t="shared" si="48"/>
        <v>0.22847222222222235</v>
      </c>
      <c r="N148" s="23">
        <f t="shared" si="35"/>
        <v>-9.0277777777777679E-2</v>
      </c>
      <c r="O148" s="33">
        <f t="shared" si="49"/>
        <v>-6.2500000000001998E-3</v>
      </c>
      <c r="P148" s="67">
        <f>P147+N148</f>
        <v>-6.2500000000001998E-3</v>
      </c>
      <c r="Q148" s="72">
        <f t="shared" ref="Q148" si="52">SUM(M144:M148)</f>
        <v>1.5874999999999999</v>
      </c>
      <c r="R148" s="72">
        <f t="shared" ref="R148" si="53">Q148/5</f>
        <v>0.3175</v>
      </c>
    </row>
    <row r="149" spans="2:18" x14ac:dyDescent="0.25">
      <c r="B149" s="139">
        <v>43967</v>
      </c>
      <c r="C149" s="48" t="s">
        <v>21</v>
      </c>
      <c r="D149" s="43"/>
      <c r="E149" s="43"/>
      <c r="F149" s="43"/>
      <c r="G149" s="34"/>
      <c r="H149" s="25"/>
      <c r="I149" s="28"/>
      <c r="J149" s="28"/>
      <c r="K149" s="43"/>
      <c r="L149" s="27"/>
      <c r="M149" s="27"/>
      <c r="N149" s="44"/>
      <c r="O149" s="26"/>
      <c r="P149" s="65"/>
      <c r="Q149" s="71"/>
      <c r="R149" s="71"/>
    </row>
    <row r="150" spans="2:18" x14ac:dyDescent="0.25">
      <c r="B150" s="139">
        <v>43968</v>
      </c>
      <c r="C150" s="48" t="s">
        <v>22</v>
      </c>
      <c r="D150" s="43"/>
      <c r="E150" s="43"/>
      <c r="F150" s="43"/>
      <c r="G150" s="34"/>
      <c r="H150" s="28"/>
      <c r="I150" s="28"/>
      <c r="J150" s="28"/>
      <c r="K150" s="43"/>
      <c r="L150" s="27"/>
      <c r="M150" s="27"/>
      <c r="N150" s="44"/>
      <c r="O150" s="26"/>
      <c r="P150" s="65"/>
      <c r="Q150" s="71"/>
      <c r="R150" s="71"/>
    </row>
    <row r="151" spans="2:18" x14ac:dyDescent="0.25">
      <c r="B151" s="139">
        <v>43969</v>
      </c>
      <c r="C151" s="47" t="s">
        <v>6</v>
      </c>
      <c r="D151" s="35">
        <v>0.31597222222222221</v>
      </c>
      <c r="E151" s="35">
        <v>0.43958333333333338</v>
      </c>
      <c r="F151" s="35">
        <v>0.45763888888888887</v>
      </c>
      <c r="G151" s="30">
        <f t="shared" si="46"/>
        <v>1.8055555555555491E-2</v>
      </c>
      <c r="H151" s="13">
        <f t="shared" si="29"/>
        <v>4.1666666666666033E-3</v>
      </c>
      <c r="I151" s="35"/>
      <c r="J151" s="35"/>
      <c r="K151" s="35">
        <f t="shared" si="47"/>
        <v>0</v>
      </c>
      <c r="L151" s="32">
        <v>0.65486111111111112</v>
      </c>
      <c r="M151" s="32">
        <f t="shared" si="48"/>
        <v>0.33472222222222231</v>
      </c>
      <c r="N151" s="23">
        <f t="shared" si="35"/>
        <v>1.5972222222222276E-2</v>
      </c>
      <c r="O151" s="33">
        <f t="shared" si="49"/>
        <v>1.5972222222222276E-2</v>
      </c>
      <c r="P151" s="67">
        <f>P150+N151</f>
        <v>1.5972222222222276E-2</v>
      </c>
      <c r="Q151" s="71"/>
      <c r="R151" s="71"/>
    </row>
    <row r="152" spans="2:18" x14ac:dyDescent="0.25">
      <c r="B152" s="139">
        <v>43970</v>
      </c>
      <c r="C152" s="47" t="s">
        <v>7</v>
      </c>
      <c r="D152" s="35">
        <v>0.31180555555555556</v>
      </c>
      <c r="E152" s="35">
        <v>0.44166666666666665</v>
      </c>
      <c r="F152" s="35">
        <v>0.45763888888888887</v>
      </c>
      <c r="G152" s="30">
        <f t="shared" si="46"/>
        <v>1.5972222222222221E-2</v>
      </c>
      <c r="H152" s="13">
        <f t="shared" ref="H152:H215" si="54">IF(G152&gt;$I$6,G152-$I$6)</f>
        <v>2.0833333333333329E-3</v>
      </c>
      <c r="I152" s="35"/>
      <c r="J152" s="35"/>
      <c r="K152" s="35">
        <f t="shared" si="47"/>
        <v>0</v>
      </c>
      <c r="L152" s="32">
        <v>0.65416666666666667</v>
      </c>
      <c r="M152" s="32">
        <f t="shared" si="48"/>
        <v>0.34027777777777779</v>
      </c>
      <c r="N152" s="23">
        <f t="shared" si="35"/>
        <v>2.1527777777777757E-2</v>
      </c>
      <c r="O152" s="33">
        <f t="shared" si="49"/>
        <v>3.7500000000000033E-2</v>
      </c>
      <c r="P152" s="67">
        <f>P151+N152</f>
        <v>3.7500000000000033E-2</v>
      </c>
      <c r="Q152" s="71"/>
      <c r="R152" s="71"/>
    </row>
    <row r="153" spans="2:18" x14ac:dyDescent="0.25">
      <c r="B153" s="139">
        <v>43971</v>
      </c>
      <c r="C153" s="47" t="s">
        <v>23</v>
      </c>
      <c r="D153" s="35">
        <v>0.32222222222222224</v>
      </c>
      <c r="E153" s="35">
        <v>0.44097222222222227</v>
      </c>
      <c r="F153" s="35">
        <v>0.4604166666666667</v>
      </c>
      <c r="G153" s="30">
        <f t="shared" si="46"/>
        <v>1.9444444444444431E-2</v>
      </c>
      <c r="H153" s="13">
        <f t="shared" si="54"/>
        <v>5.5555555555555428E-3</v>
      </c>
      <c r="I153" s="35"/>
      <c r="J153" s="35"/>
      <c r="K153" s="35">
        <f t="shared" si="47"/>
        <v>0</v>
      </c>
      <c r="L153" s="32">
        <v>0.66527777777777775</v>
      </c>
      <c r="M153" s="32">
        <f t="shared" si="48"/>
        <v>0.33749999999999997</v>
      </c>
      <c r="N153" s="23">
        <f t="shared" si="35"/>
        <v>1.8749999999999933E-2</v>
      </c>
      <c r="O153" s="33">
        <f t="shared" si="49"/>
        <v>5.6249999999999967E-2</v>
      </c>
      <c r="P153" s="67">
        <f>P152+N153</f>
        <v>5.6249999999999967E-2</v>
      </c>
      <c r="Q153" s="71"/>
      <c r="R153" s="71"/>
    </row>
    <row r="154" spans="2:18" x14ac:dyDescent="0.25">
      <c r="B154" s="139">
        <v>43972</v>
      </c>
      <c r="C154" s="47" t="s">
        <v>8</v>
      </c>
      <c r="D154" s="35">
        <v>0.32222222222222224</v>
      </c>
      <c r="E154" s="35"/>
      <c r="F154" s="35"/>
      <c r="G154" s="30">
        <f t="shared" si="46"/>
        <v>0</v>
      </c>
      <c r="H154" s="13" t="b">
        <f t="shared" si="54"/>
        <v>0</v>
      </c>
      <c r="I154" s="35"/>
      <c r="J154" s="35"/>
      <c r="K154" s="35">
        <f t="shared" si="47"/>
        <v>0</v>
      </c>
      <c r="L154" s="32">
        <v>0.66527777777777775</v>
      </c>
      <c r="M154" s="32">
        <f t="shared" si="48"/>
        <v>0.3430555555555555</v>
      </c>
      <c r="N154" s="23">
        <f t="shared" si="35"/>
        <v>2.4305555555555469E-2</v>
      </c>
      <c r="O154" s="33">
        <f t="shared" si="49"/>
        <v>8.0555555555555436E-2</v>
      </c>
      <c r="P154" s="67">
        <f>P153+N154</f>
        <v>8.0555555555555436E-2</v>
      </c>
      <c r="Q154" s="71"/>
      <c r="R154" s="71"/>
    </row>
    <row r="155" spans="2:18" x14ac:dyDescent="0.25">
      <c r="B155" s="139">
        <v>43973</v>
      </c>
      <c r="C155" s="47" t="s">
        <v>9</v>
      </c>
      <c r="D155" s="35">
        <v>0.31458333333333333</v>
      </c>
      <c r="E155" s="35">
        <v>0.50208333333333333</v>
      </c>
      <c r="F155" s="35">
        <v>0.52083333333333337</v>
      </c>
      <c r="G155" s="30">
        <f t="shared" si="46"/>
        <v>1.8750000000000044E-2</v>
      </c>
      <c r="H155" s="13">
        <f t="shared" si="54"/>
        <v>4.8611111111111563E-3</v>
      </c>
      <c r="I155" s="36"/>
      <c r="J155" s="36"/>
      <c r="K155" s="35">
        <f t="shared" si="47"/>
        <v>0</v>
      </c>
      <c r="L155" s="32">
        <v>0.57708333333333328</v>
      </c>
      <c r="M155" s="32">
        <f t="shared" si="48"/>
        <v>0.25763888888888881</v>
      </c>
      <c r="N155" s="23">
        <f t="shared" si="35"/>
        <v>-6.1111111111111227E-2</v>
      </c>
      <c r="O155" s="33">
        <f t="shared" si="49"/>
        <v>1.9444444444444209E-2</v>
      </c>
      <c r="P155" s="67">
        <f>P154+N155</f>
        <v>1.9444444444444209E-2</v>
      </c>
      <c r="Q155" s="72">
        <f t="shared" ref="Q155" si="55">SUM(M151:M155)</f>
        <v>1.6131944444444442</v>
      </c>
      <c r="R155" s="72">
        <f t="shared" ref="R155" si="56">Q155/5</f>
        <v>0.32263888888888881</v>
      </c>
    </row>
    <row r="156" spans="2:18" x14ac:dyDescent="0.25">
      <c r="B156" s="139">
        <v>43974</v>
      </c>
      <c r="C156" s="48" t="s">
        <v>21</v>
      </c>
      <c r="D156" s="43"/>
      <c r="E156" s="43"/>
      <c r="F156" s="43"/>
      <c r="G156" s="34"/>
      <c r="H156" s="25"/>
      <c r="I156" s="28"/>
      <c r="J156" s="28"/>
      <c r="K156" s="43"/>
      <c r="L156" s="27"/>
      <c r="M156" s="27"/>
      <c r="N156" s="44"/>
      <c r="O156" s="26"/>
      <c r="P156" s="65"/>
      <c r="Q156" s="71"/>
      <c r="R156" s="71"/>
    </row>
    <row r="157" spans="2:18" x14ac:dyDescent="0.25">
      <c r="B157" s="139">
        <v>43975</v>
      </c>
      <c r="C157" s="48" t="s">
        <v>22</v>
      </c>
      <c r="D157" s="43"/>
      <c r="E157" s="43"/>
      <c r="F157" s="43"/>
      <c r="G157" s="34"/>
      <c r="H157" s="28"/>
      <c r="I157" s="28"/>
      <c r="J157" s="28"/>
      <c r="K157" s="43"/>
      <c r="L157" s="27"/>
      <c r="M157" s="27"/>
      <c r="N157" s="44"/>
      <c r="O157" s="26"/>
      <c r="P157" s="65"/>
      <c r="Q157" s="71"/>
      <c r="R157" s="71"/>
    </row>
    <row r="158" spans="2:18" x14ac:dyDescent="0.25">
      <c r="B158" s="139">
        <v>43976</v>
      </c>
      <c r="C158" s="47" t="s">
        <v>6</v>
      </c>
      <c r="D158" s="35">
        <v>0.31875000000000003</v>
      </c>
      <c r="E158" s="35">
        <v>0.47083333333333338</v>
      </c>
      <c r="F158" s="35">
        <v>0.48402777777777778</v>
      </c>
      <c r="G158" s="30">
        <f t="shared" si="46"/>
        <v>1.3194444444444398E-2</v>
      </c>
      <c r="H158" s="13" t="b">
        <f t="shared" si="54"/>
        <v>0</v>
      </c>
      <c r="I158" s="35"/>
      <c r="J158" s="35"/>
      <c r="K158" s="35">
        <f t="shared" si="47"/>
        <v>0</v>
      </c>
      <c r="L158" s="32">
        <v>0.65069444444444446</v>
      </c>
      <c r="M158" s="32">
        <f t="shared" si="48"/>
        <v>0.33194444444444443</v>
      </c>
      <c r="N158" s="23">
        <f t="shared" si="35"/>
        <v>1.3194444444444398E-2</v>
      </c>
      <c r="O158" s="33">
        <f t="shared" si="49"/>
        <v>1.3194444444444398E-2</v>
      </c>
      <c r="P158" s="67">
        <f>P157+N158</f>
        <v>1.3194444444444398E-2</v>
      </c>
      <c r="Q158" s="71"/>
      <c r="R158" s="71"/>
    </row>
    <row r="159" spans="2:18" x14ac:dyDescent="0.25">
      <c r="B159" s="139">
        <v>43977</v>
      </c>
      <c r="C159" s="47" t="s">
        <v>7</v>
      </c>
      <c r="D159" s="35">
        <v>0.31944444444444448</v>
      </c>
      <c r="E159" s="35"/>
      <c r="F159" s="35"/>
      <c r="G159" s="30">
        <f t="shared" si="46"/>
        <v>0</v>
      </c>
      <c r="H159" s="13" t="b">
        <f t="shared" si="54"/>
        <v>0</v>
      </c>
      <c r="I159" s="35"/>
      <c r="J159" s="35"/>
      <c r="K159" s="35">
        <f t="shared" si="47"/>
        <v>0</v>
      </c>
      <c r="L159" s="32">
        <v>0.65069444444444446</v>
      </c>
      <c r="M159" s="32">
        <f t="shared" si="48"/>
        <v>0.33124999999999999</v>
      </c>
      <c r="N159" s="23">
        <f t="shared" si="35"/>
        <v>1.2499999999999956E-2</v>
      </c>
      <c r="O159" s="33">
        <f t="shared" si="49"/>
        <v>2.5694444444444353E-2</v>
      </c>
      <c r="P159" s="67">
        <f>P158+N159</f>
        <v>2.5694444444444353E-2</v>
      </c>
      <c r="Q159" s="71"/>
      <c r="R159" s="71"/>
    </row>
    <row r="160" spans="2:18" x14ac:dyDescent="0.25">
      <c r="B160" s="139">
        <v>43978</v>
      </c>
      <c r="C160" s="47" t="s">
        <v>23</v>
      </c>
      <c r="D160" s="35">
        <v>0.30902777777777779</v>
      </c>
      <c r="E160" s="35">
        <v>0.44027777777777777</v>
      </c>
      <c r="F160" s="35">
        <v>0.4604166666666667</v>
      </c>
      <c r="G160" s="30">
        <f t="shared" si="46"/>
        <v>2.0138888888888928E-2</v>
      </c>
      <c r="H160" s="13">
        <f t="shared" si="54"/>
        <v>6.2500000000000402E-3</v>
      </c>
      <c r="I160" s="35"/>
      <c r="J160" s="35"/>
      <c r="K160" s="35">
        <f t="shared" si="47"/>
        <v>0</v>
      </c>
      <c r="L160" s="32">
        <v>0.64722222222222225</v>
      </c>
      <c r="M160" s="32">
        <f t="shared" si="48"/>
        <v>0.33194444444444443</v>
      </c>
      <c r="N160" s="23">
        <f t="shared" si="35"/>
        <v>1.3194444444444398E-2</v>
      </c>
      <c r="O160" s="33">
        <f t="shared" si="49"/>
        <v>3.8888888888888751E-2</v>
      </c>
      <c r="P160" s="67">
        <f>P159+N160</f>
        <v>3.8888888888888751E-2</v>
      </c>
      <c r="Q160" s="71"/>
      <c r="R160" s="71"/>
    </row>
    <row r="161" spans="2:21" x14ac:dyDescent="0.25">
      <c r="B161" s="139">
        <v>43979</v>
      </c>
      <c r="C161" s="47" t="s">
        <v>8</v>
      </c>
      <c r="D161" s="35">
        <v>0.31180555555555556</v>
      </c>
      <c r="E161" s="35">
        <v>0.43888888888888888</v>
      </c>
      <c r="F161" s="35">
        <v>0.45763888888888887</v>
      </c>
      <c r="G161" s="30">
        <f t="shared" si="46"/>
        <v>1.8749999999999989E-2</v>
      </c>
      <c r="H161" s="13">
        <f t="shared" si="54"/>
        <v>4.8611111111111008E-3</v>
      </c>
      <c r="I161" s="35"/>
      <c r="J161" s="35"/>
      <c r="K161" s="35">
        <f t="shared" si="47"/>
        <v>0</v>
      </c>
      <c r="L161" s="32">
        <v>0.64930555555555558</v>
      </c>
      <c r="M161" s="32">
        <f t="shared" si="48"/>
        <v>0.33263888888888893</v>
      </c>
      <c r="N161" s="23">
        <f t="shared" si="35"/>
        <v>1.3888888888888895E-2</v>
      </c>
      <c r="O161" s="33">
        <f t="shared" si="49"/>
        <v>5.2777777777777646E-2</v>
      </c>
      <c r="P161" s="67">
        <f>P160+N161</f>
        <v>5.2777777777777646E-2</v>
      </c>
      <c r="Q161" s="71"/>
      <c r="R161" s="71"/>
    </row>
    <row r="162" spans="2:21" x14ac:dyDescent="0.25">
      <c r="B162" s="139">
        <v>43980</v>
      </c>
      <c r="C162" s="47" t="s">
        <v>9</v>
      </c>
      <c r="D162" s="35">
        <v>0.31111111111111112</v>
      </c>
      <c r="E162" s="35">
        <v>0.47291666666666665</v>
      </c>
      <c r="F162" s="35">
        <v>0.48749999999999999</v>
      </c>
      <c r="G162" s="30">
        <f t="shared" si="46"/>
        <v>1.4583333333333337E-2</v>
      </c>
      <c r="H162" s="13">
        <f t="shared" si="54"/>
        <v>6.9444444444444892E-4</v>
      </c>
      <c r="I162" s="35"/>
      <c r="J162" s="36"/>
      <c r="K162" s="35">
        <f t="shared" si="47"/>
        <v>0</v>
      </c>
      <c r="L162" s="32">
        <v>0.58472222222222225</v>
      </c>
      <c r="M162" s="32">
        <f t="shared" si="48"/>
        <v>0.2729166666666667</v>
      </c>
      <c r="N162" s="23">
        <f t="shared" si="35"/>
        <v>-4.5833333333333337E-2</v>
      </c>
      <c r="O162" s="33">
        <f t="shared" si="49"/>
        <v>6.9444444444443088E-3</v>
      </c>
      <c r="P162" s="67">
        <f>P161+N162</f>
        <v>6.9444444444443088E-3</v>
      </c>
      <c r="Q162" s="72">
        <f t="shared" ref="Q162" si="57">SUM(M158:M162)</f>
        <v>1.6006944444444444</v>
      </c>
      <c r="R162" s="72">
        <f t="shared" ref="R162" si="58">Q162/5</f>
        <v>0.32013888888888886</v>
      </c>
      <c r="T162" s="166" t="s">
        <v>61</v>
      </c>
    </row>
    <row r="163" spans="2:21" x14ac:dyDescent="0.25">
      <c r="B163" s="139">
        <v>43981</v>
      </c>
      <c r="C163" s="48" t="s">
        <v>21</v>
      </c>
      <c r="D163" s="43"/>
      <c r="E163" s="43"/>
      <c r="F163" s="43"/>
      <c r="G163" s="34"/>
      <c r="H163" s="25"/>
      <c r="I163" s="28"/>
      <c r="J163" s="28"/>
      <c r="K163" s="43"/>
      <c r="L163" s="27"/>
      <c r="M163" s="27"/>
      <c r="N163" s="44"/>
      <c r="O163" s="26"/>
      <c r="P163" s="65"/>
      <c r="Q163" s="71"/>
      <c r="R163" s="71"/>
      <c r="T163" s="165">
        <f>SUM(M133:M163)</f>
        <v>7.0375000000000014</v>
      </c>
      <c r="U163" s="168">
        <f>T163/21</f>
        <v>0.33511904761904771</v>
      </c>
    </row>
    <row r="164" spans="2:21" x14ac:dyDescent="0.25">
      <c r="B164" s="139">
        <v>43982</v>
      </c>
      <c r="C164" s="48" t="s">
        <v>22</v>
      </c>
      <c r="D164" s="43"/>
      <c r="E164" s="43"/>
      <c r="F164" s="43"/>
      <c r="G164" s="34"/>
      <c r="H164" s="28"/>
      <c r="I164" s="28"/>
      <c r="J164" s="28"/>
      <c r="K164" s="43"/>
      <c r="L164" s="27"/>
      <c r="M164" s="27"/>
      <c r="N164" s="44"/>
      <c r="O164" s="26"/>
      <c r="P164" s="65"/>
      <c r="Q164" s="71"/>
      <c r="R164" s="71"/>
    </row>
    <row r="165" spans="2:21" x14ac:dyDescent="0.25">
      <c r="B165" s="139">
        <v>43983</v>
      </c>
      <c r="C165" s="47" t="s">
        <v>6</v>
      </c>
      <c r="D165" s="35">
        <v>0.30902777777777779</v>
      </c>
      <c r="E165" s="35">
        <v>0.46249999999999997</v>
      </c>
      <c r="F165" s="35">
        <v>0.47638888888888892</v>
      </c>
      <c r="G165" s="30">
        <f t="shared" ref="G165:G188" si="59">F165-E165</f>
        <v>1.3888888888888951E-2</v>
      </c>
      <c r="H165" s="13">
        <f t="shared" si="54"/>
        <v>6.2450045135165055E-17</v>
      </c>
      <c r="I165" s="35"/>
      <c r="J165" s="35"/>
      <c r="K165" s="35">
        <f t="shared" ref="K165:K188" si="60">J165-I165</f>
        <v>0</v>
      </c>
      <c r="L165" s="32">
        <v>0.64861111111111114</v>
      </c>
      <c r="M165" s="32">
        <f t="shared" ref="M165:M188" si="61">(L165-D165)-H165-K165</f>
        <v>0.33958333333333329</v>
      </c>
      <c r="N165" s="23">
        <f t="shared" si="35"/>
        <v>2.0833333333333259E-2</v>
      </c>
      <c r="O165" s="33">
        <f t="shared" ref="O165:O188" si="62">O164+N165</f>
        <v>2.0833333333333259E-2</v>
      </c>
      <c r="P165" s="67">
        <f>P164+N165</f>
        <v>2.0833333333333259E-2</v>
      </c>
      <c r="Q165" s="71"/>
      <c r="R165" s="71"/>
    </row>
    <row r="166" spans="2:21" x14ac:dyDescent="0.25">
      <c r="B166" s="139">
        <v>43984</v>
      </c>
      <c r="C166" s="47" t="s">
        <v>7</v>
      </c>
      <c r="D166" s="35">
        <v>0.31666666666666665</v>
      </c>
      <c r="E166" s="35">
        <v>0.44444444444444442</v>
      </c>
      <c r="F166" s="35">
        <v>0.46666666666666662</v>
      </c>
      <c r="G166" s="30">
        <f t="shared" si="59"/>
        <v>2.2222222222222199E-2</v>
      </c>
      <c r="H166" s="13">
        <f t="shared" si="54"/>
        <v>8.3333333333333107E-3</v>
      </c>
      <c r="I166" s="35"/>
      <c r="J166" s="35"/>
      <c r="K166" s="35">
        <f t="shared" si="60"/>
        <v>0</v>
      </c>
      <c r="L166" s="32">
        <v>0.65069444444444446</v>
      </c>
      <c r="M166" s="32">
        <f t="shared" si="61"/>
        <v>0.32569444444444451</v>
      </c>
      <c r="N166" s="23">
        <f t="shared" si="35"/>
        <v>6.9444444444444753E-3</v>
      </c>
      <c r="O166" s="33">
        <f t="shared" si="62"/>
        <v>2.7777777777777735E-2</v>
      </c>
      <c r="P166" s="67">
        <f>P165+N166</f>
        <v>2.7777777777777735E-2</v>
      </c>
      <c r="Q166" s="71"/>
      <c r="R166" s="71"/>
    </row>
    <row r="167" spans="2:21" x14ac:dyDescent="0.25">
      <c r="B167" s="139">
        <v>43985</v>
      </c>
      <c r="C167" s="47" t="s">
        <v>23</v>
      </c>
      <c r="D167" s="35">
        <v>0.31875000000000003</v>
      </c>
      <c r="E167" s="35"/>
      <c r="F167" s="35"/>
      <c r="G167" s="30">
        <f t="shared" si="59"/>
        <v>0</v>
      </c>
      <c r="H167" s="13" t="b">
        <f t="shared" si="54"/>
        <v>0</v>
      </c>
      <c r="I167" s="35"/>
      <c r="J167" s="35"/>
      <c r="K167" s="35">
        <f t="shared" si="60"/>
        <v>0</v>
      </c>
      <c r="L167" s="32">
        <v>0.64930555555555558</v>
      </c>
      <c r="M167" s="32">
        <f t="shared" si="61"/>
        <v>0.33055555555555555</v>
      </c>
      <c r="N167" s="23">
        <f t="shared" si="35"/>
        <v>1.1805555555555514E-2</v>
      </c>
      <c r="O167" s="33">
        <f t="shared" si="62"/>
        <v>3.9583333333333248E-2</v>
      </c>
      <c r="P167" s="67">
        <f>P166+N167</f>
        <v>3.9583333333333248E-2</v>
      </c>
      <c r="Q167" s="71"/>
      <c r="R167" s="71"/>
    </row>
    <row r="168" spans="2:21" x14ac:dyDescent="0.25">
      <c r="B168" s="139">
        <v>43986</v>
      </c>
      <c r="C168" s="47" t="s">
        <v>8</v>
      </c>
      <c r="D168" s="35">
        <v>0.3125</v>
      </c>
      <c r="E168" s="35">
        <v>0.44166666666666665</v>
      </c>
      <c r="F168" s="35">
        <v>0.4597222222222222</v>
      </c>
      <c r="G168" s="30">
        <f t="shared" si="59"/>
        <v>1.8055555555555547E-2</v>
      </c>
      <c r="H168" s="13">
        <f t="shared" si="54"/>
        <v>4.1666666666666588E-3</v>
      </c>
      <c r="I168" s="35"/>
      <c r="J168" s="35"/>
      <c r="K168" s="35">
        <f t="shared" si="60"/>
        <v>0</v>
      </c>
      <c r="L168" s="32">
        <v>0.67361111111111116</v>
      </c>
      <c r="M168" s="32">
        <f t="shared" si="61"/>
        <v>0.35694444444444451</v>
      </c>
      <c r="N168" s="23">
        <f t="shared" si="35"/>
        <v>3.8194444444444475E-2</v>
      </c>
      <c r="O168" s="33">
        <f t="shared" si="62"/>
        <v>7.7777777777777724E-2</v>
      </c>
      <c r="P168" s="67">
        <f>P167+N168</f>
        <v>7.7777777777777724E-2</v>
      </c>
      <c r="Q168" s="71"/>
      <c r="R168" s="71"/>
      <c r="S168" t="s">
        <v>70</v>
      </c>
    </row>
    <row r="169" spans="2:21" x14ac:dyDescent="0.25">
      <c r="B169" s="139">
        <v>43987</v>
      </c>
      <c r="C169" s="47" t="s">
        <v>9</v>
      </c>
      <c r="D169" s="35">
        <v>0.31666666666666665</v>
      </c>
      <c r="E169" s="35">
        <v>0.47847222222222219</v>
      </c>
      <c r="F169" s="35">
        <v>0.49236111111111108</v>
      </c>
      <c r="G169" s="30">
        <f t="shared" si="59"/>
        <v>1.3888888888888895E-2</v>
      </c>
      <c r="H169" s="13" t="b">
        <f t="shared" si="54"/>
        <v>0</v>
      </c>
      <c r="I169" s="35"/>
      <c r="J169" s="36"/>
      <c r="K169" s="35">
        <f t="shared" si="60"/>
        <v>0</v>
      </c>
      <c r="L169" s="32">
        <v>0.5854166666666667</v>
      </c>
      <c r="M169" s="32">
        <f t="shared" si="61"/>
        <v>0.26875000000000004</v>
      </c>
      <c r="N169" s="23">
        <f t="shared" si="35"/>
        <v>-4.9999999999999989E-2</v>
      </c>
      <c r="O169" s="33">
        <f t="shared" si="62"/>
        <v>2.7777777777777735E-2</v>
      </c>
      <c r="P169" s="67">
        <f>P168+N169</f>
        <v>2.7777777777777735E-2</v>
      </c>
      <c r="Q169" s="72">
        <f t="shared" ref="Q169" si="63">SUM(M165:M169)</f>
        <v>1.6215277777777779</v>
      </c>
      <c r="R169" s="72">
        <f t="shared" ref="R169" si="64">Q169/5</f>
        <v>0.32430555555555557</v>
      </c>
    </row>
    <row r="170" spans="2:21" x14ac:dyDescent="0.25">
      <c r="B170" s="139">
        <v>43988</v>
      </c>
      <c r="C170" s="48" t="s">
        <v>21</v>
      </c>
      <c r="D170" s="43"/>
      <c r="E170" s="43"/>
      <c r="F170" s="43"/>
      <c r="G170" s="34"/>
      <c r="H170" s="25"/>
      <c r="I170" s="28"/>
      <c r="J170" s="28"/>
      <c r="K170" s="43"/>
      <c r="L170" s="27"/>
      <c r="M170" s="27"/>
      <c r="N170" s="44"/>
      <c r="O170" s="26"/>
      <c r="P170" s="65"/>
      <c r="Q170" s="71"/>
      <c r="R170" s="71"/>
    </row>
    <row r="171" spans="2:21" x14ac:dyDescent="0.25">
      <c r="B171" s="139">
        <v>43989</v>
      </c>
      <c r="C171" s="48" t="s">
        <v>22</v>
      </c>
      <c r="D171" s="43"/>
      <c r="E171" s="43"/>
      <c r="F171" s="43"/>
      <c r="G171" s="34"/>
      <c r="H171" s="28"/>
      <c r="I171" s="28"/>
      <c r="J171" s="28"/>
      <c r="K171" s="43"/>
      <c r="L171" s="27"/>
      <c r="M171" s="27"/>
      <c r="N171" s="44"/>
      <c r="O171" s="26"/>
      <c r="P171" s="65"/>
      <c r="Q171" s="71"/>
      <c r="R171" s="71"/>
    </row>
    <row r="172" spans="2:21" x14ac:dyDescent="0.25">
      <c r="B172" s="175">
        <v>43990</v>
      </c>
      <c r="C172" s="149" t="s">
        <v>6</v>
      </c>
      <c r="D172" s="150">
        <v>0.3125</v>
      </c>
      <c r="E172" s="150"/>
      <c r="F172" s="150"/>
      <c r="G172" s="151">
        <f t="shared" si="59"/>
        <v>0</v>
      </c>
      <c r="H172" s="152" t="b">
        <f t="shared" si="54"/>
        <v>0</v>
      </c>
      <c r="I172" s="150"/>
      <c r="J172" s="150"/>
      <c r="K172" s="150">
        <f t="shared" si="60"/>
        <v>0</v>
      </c>
      <c r="L172" s="153">
        <v>0.6430555555555556</v>
      </c>
      <c r="M172" s="153">
        <v>0</v>
      </c>
      <c r="N172" s="154">
        <f t="shared" ref="N172:N175" si="65">M172-$D$6</f>
        <v>-0.31875000000000003</v>
      </c>
      <c r="O172" s="155">
        <f t="shared" si="62"/>
        <v>-0.31875000000000003</v>
      </c>
      <c r="P172" s="159">
        <f>P171+N172</f>
        <v>-0.31875000000000003</v>
      </c>
      <c r="Q172" s="71"/>
      <c r="R172" s="71"/>
      <c r="S172" t="s">
        <v>68</v>
      </c>
    </row>
    <row r="173" spans="2:21" x14ac:dyDescent="0.25">
      <c r="B173" s="175">
        <v>43991</v>
      </c>
      <c r="C173" s="149" t="s">
        <v>7</v>
      </c>
      <c r="D173" s="150">
        <v>0.3125</v>
      </c>
      <c r="E173" s="150"/>
      <c r="F173" s="150"/>
      <c r="G173" s="151">
        <f t="shared" si="59"/>
        <v>0</v>
      </c>
      <c r="H173" s="152" t="b">
        <f t="shared" si="54"/>
        <v>0</v>
      </c>
      <c r="I173" s="150"/>
      <c r="J173" s="150"/>
      <c r="K173" s="176">
        <f t="shared" si="60"/>
        <v>0</v>
      </c>
      <c r="L173" s="153">
        <v>0.6430555555555556</v>
      </c>
      <c r="M173" s="153">
        <v>0</v>
      </c>
      <c r="N173" s="154">
        <f t="shared" si="65"/>
        <v>-0.31875000000000003</v>
      </c>
      <c r="O173" s="155">
        <f t="shared" si="62"/>
        <v>-0.63750000000000007</v>
      </c>
      <c r="P173" s="67">
        <f>P172+N173</f>
        <v>-0.63750000000000007</v>
      </c>
      <c r="Q173" s="71"/>
      <c r="R173" s="71"/>
      <c r="S173" t="s">
        <v>69</v>
      </c>
    </row>
    <row r="174" spans="2:21" x14ac:dyDescent="0.25">
      <c r="B174" s="139">
        <v>43992</v>
      </c>
      <c r="C174" s="47" t="s">
        <v>23</v>
      </c>
      <c r="D174" s="35">
        <v>0.34375</v>
      </c>
      <c r="E174" s="35">
        <v>0.44236111111111115</v>
      </c>
      <c r="F174" s="35">
        <v>0.45902777777777781</v>
      </c>
      <c r="G174" s="30">
        <f t="shared" si="59"/>
        <v>1.6666666666666663E-2</v>
      </c>
      <c r="H174" s="13">
        <f t="shared" si="54"/>
        <v>2.7777777777777748E-3</v>
      </c>
      <c r="I174" s="35">
        <v>0.62777777777777777</v>
      </c>
      <c r="J174" s="35">
        <v>0.70416666666666661</v>
      </c>
      <c r="K174" s="35">
        <f t="shared" si="60"/>
        <v>7.638888888888884E-2</v>
      </c>
      <c r="L174" s="32">
        <v>0.75</v>
      </c>
      <c r="M174" s="32">
        <f t="shared" si="61"/>
        <v>0.32708333333333339</v>
      </c>
      <c r="N174" s="23">
        <f t="shared" si="65"/>
        <v>8.3333333333333592E-3</v>
      </c>
      <c r="O174" s="33">
        <f t="shared" si="62"/>
        <v>-0.62916666666666665</v>
      </c>
      <c r="P174" s="67">
        <f>P173+N174</f>
        <v>-0.62916666666666665</v>
      </c>
      <c r="Q174" s="71"/>
      <c r="R174" s="71"/>
    </row>
    <row r="175" spans="2:21" x14ac:dyDescent="0.25">
      <c r="B175" s="139">
        <v>43993</v>
      </c>
      <c r="C175" s="47" t="s">
        <v>8</v>
      </c>
      <c r="D175" s="35">
        <v>0.32916666666666666</v>
      </c>
      <c r="E175" s="35">
        <v>0.45347222222222222</v>
      </c>
      <c r="F175" s="35">
        <v>0.47361111111111115</v>
      </c>
      <c r="G175" s="30">
        <f t="shared" si="59"/>
        <v>2.0138888888888928E-2</v>
      </c>
      <c r="H175" s="13">
        <f t="shared" si="54"/>
        <v>6.2500000000000402E-3</v>
      </c>
      <c r="I175" s="35">
        <v>0.62777777777777777</v>
      </c>
      <c r="J175" s="35">
        <v>0.70138888888888884</v>
      </c>
      <c r="K175" s="35">
        <f t="shared" si="60"/>
        <v>7.3611111111111072E-2</v>
      </c>
      <c r="L175" s="32">
        <v>0.75208333333333333</v>
      </c>
      <c r="M175" s="32">
        <f t="shared" si="61"/>
        <v>0.34305555555555556</v>
      </c>
      <c r="N175" s="23">
        <f t="shared" si="65"/>
        <v>2.4305555555555525E-2</v>
      </c>
      <c r="O175" s="33">
        <f t="shared" si="62"/>
        <v>-0.60486111111111107</v>
      </c>
      <c r="P175" s="67">
        <f>P174+N175</f>
        <v>-0.60486111111111107</v>
      </c>
      <c r="Q175" s="71"/>
      <c r="R175" s="71"/>
    </row>
    <row r="176" spans="2:21" x14ac:dyDescent="0.25">
      <c r="B176" s="139">
        <v>43994</v>
      </c>
      <c r="C176" s="47" t="s">
        <v>9</v>
      </c>
      <c r="D176" s="35">
        <v>0.31111111111111112</v>
      </c>
      <c r="E176" s="35">
        <v>0.48402777777777778</v>
      </c>
      <c r="F176" s="35">
        <v>0.50347222222222221</v>
      </c>
      <c r="G176" s="30">
        <f t="shared" si="59"/>
        <v>1.9444444444444431E-2</v>
      </c>
      <c r="H176" s="13">
        <f t="shared" si="54"/>
        <v>5.5555555555555428E-3</v>
      </c>
      <c r="I176" s="36"/>
      <c r="J176" s="35"/>
      <c r="K176" s="35">
        <f t="shared" si="60"/>
        <v>0</v>
      </c>
      <c r="L176" s="32">
        <v>0.58472222222222225</v>
      </c>
      <c r="M176" s="32">
        <f t="shared" si="61"/>
        <v>0.2680555555555556</v>
      </c>
      <c r="N176" s="23">
        <f>M176-$D$6</f>
        <v>-5.0694444444444431E-2</v>
      </c>
      <c r="O176" s="33">
        <f t="shared" si="62"/>
        <v>-0.65555555555555545</v>
      </c>
      <c r="P176" s="67">
        <f>P175+N176</f>
        <v>-0.65555555555555545</v>
      </c>
      <c r="Q176" s="72">
        <f t="shared" ref="Q176" si="66">SUM(M172:M176)</f>
        <v>0.93819444444444455</v>
      </c>
      <c r="R176" s="72">
        <f t="shared" ref="R176" si="67">Q176/5</f>
        <v>0.18763888888888891</v>
      </c>
    </row>
    <row r="177" spans="2:22" x14ac:dyDescent="0.25">
      <c r="B177" s="139">
        <v>43995</v>
      </c>
      <c r="C177" s="48" t="s">
        <v>21</v>
      </c>
      <c r="D177" s="43"/>
      <c r="E177" s="43"/>
      <c r="F177" s="43"/>
      <c r="G177" s="34"/>
      <c r="H177" s="25"/>
      <c r="I177" s="28"/>
      <c r="J177" s="28"/>
      <c r="K177" s="43"/>
      <c r="L177" s="27"/>
      <c r="M177" s="27"/>
      <c r="N177" s="44"/>
      <c r="O177" s="26"/>
      <c r="P177" s="65"/>
      <c r="Q177" s="71"/>
      <c r="R177" s="71"/>
    </row>
    <row r="178" spans="2:22" x14ac:dyDescent="0.25">
      <c r="B178" s="139">
        <v>43996</v>
      </c>
      <c r="C178" s="48" t="s">
        <v>22</v>
      </c>
      <c r="D178" s="43"/>
      <c r="E178" s="43"/>
      <c r="F178" s="43"/>
      <c r="G178" s="34"/>
      <c r="H178" s="28"/>
      <c r="I178" s="28"/>
      <c r="J178" s="28"/>
      <c r="K178" s="43"/>
      <c r="L178" s="27"/>
      <c r="M178" s="27"/>
      <c r="N178" s="44"/>
      <c r="O178" s="26"/>
      <c r="P178" s="65"/>
      <c r="Q178" s="71"/>
      <c r="R178" s="71"/>
    </row>
    <row r="179" spans="2:22" x14ac:dyDescent="0.25">
      <c r="B179" s="139">
        <v>43997</v>
      </c>
      <c r="C179" s="47" t="s">
        <v>6</v>
      </c>
      <c r="D179" s="35">
        <v>0.31527777777777777</v>
      </c>
      <c r="E179" s="35">
        <v>0.4375</v>
      </c>
      <c r="F179" s="35">
        <v>0.45555555555555555</v>
      </c>
      <c r="G179" s="30">
        <f t="shared" si="59"/>
        <v>1.8055555555555547E-2</v>
      </c>
      <c r="H179" s="13">
        <f t="shared" si="54"/>
        <v>4.1666666666666588E-3</v>
      </c>
      <c r="I179" s="35"/>
      <c r="J179" s="36"/>
      <c r="K179" s="35">
        <f t="shared" si="60"/>
        <v>0</v>
      </c>
      <c r="L179" s="32">
        <v>0.62708333333333333</v>
      </c>
      <c r="M179" s="32">
        <f t="shared" si="61"/>
        <v>0.30763888888888891</v>
      </c>
      <c r="N179" s="23">
        <f>M179-$E$6</f>
        <v>1.5972222222222221E-2</v>
      </c>
      <c r="O179" s="33">
        <f t="shared" si="62"/>
        <v>1.5972222222222221E-2</v>
      </c>
      <c r="P179" s="67">
        <f>P178+N179</f>
        <v>1.5972222222222221E-2</v>
      </c>
      <c r="Q179" s="71"/>
      <c r="R179" s="71"/>
    </row>
    <row r="180" spans="2:22" x14ac:dyDescent="0.25">
      <c r="B180" s="139">
        <v>43998</v>
      </c>
      <c r="C180" s="47" t="s">
        <v>7</v>
      </c>
      <c r="D180" s="35">
        <v>0.32569444444444445</v>
      </c>
      <c r="E180" s="35">
        <v>0.44375000000000003</v>
      </c>
      <c r="F180" s="35">
        <v>0.45763888888888887</v>
      </c>
      <c r="G180" s="30">
        <f t="shared" si="59"/>
        <v>1.388888888888884E-2</v>
      </c>
      <c r="H180" s="13" t="b">
        <f t="shared" si="54"/>
        <v>0</v>
      </c>
      <c r="I180" s="36"/>
      <c r="J180" s="36"/>
      <c r="K180" s="35">
        <f t="shared" si="60"/>
        <v>0</v>
      </c>
      <c r="L180" s="32">
        <v>0.62638888888888888</v>
      </c>
      <c r="M180" s="32">
        <f t="shared" si="61"/>
        <v>0.30069444444444443</v>
      </c>
      <c r="N180" s="23">
        <f>M180-$E$6</f>
        <v>9.0277777777777457E-3</v>
      </c>
      <c r="O180" s="33">
        <f t="shared" si="62"/>
        <v>2.4999999999999967E-2</v>
      </c>
      <c r="P180" s="67">
        <f>P179+N180</f>
        <v>2.4999999999999967E-2</v>
      </c>
      <c r="Q180" s="71"/>
      <c r="R180" s="71"/>
    </row>
    <row r="181" spans="2:22" x14ac:dyDescent="0.25">
      <c r="B181" s="139">
        <v>43999</v>
      </c>
      <c r="C181" s="47" t="s">
        <v>23</v>
      </c>
      <c r="D181" s="35">
        <v>0.31597222222222221</v>
      </c>
      <c r="E181" s="35">
        <v>0.4604166666666667</v>
      </c>
      <c r="F181" s="35">
        <v>0.47916666666666669</v>
      </c>
      <c r="G181" s="30">
        <f t="shared" si="59"/>
        <v>1.8749999999999989E-2</v>
      </c>
      <c r="H181" s="13">
        <f t="shared" si="54"/>
        <v>4.8611111111111008E-3</v>
      </c>
      <c r="I181" s="36"/>
      <c r="J181" s="36"/>
      <c r="K181" s="35">
        <f t="shared" si="60"/>
        <v>0</v>
      </c>
      <c r="L181" s="32">
        <v>0.625</v>
      </c>
      <c r="M181" s="32">
        <f t="shared" si="61"/>
        <v>0.3041666666666667</v>
      </c>
      <c r="N181" s="23">
        <f>M181-$E$6</f>
        <v>1.2500000000000011E-2</v>
      </c>
      <c r="O181" s="33">
        <f t="shared" si="62"/>
        <v>3.7499999999999978E-2</v>
      </c>
      <c r="P181" s="67">
        <f>P180+N181</f>
        <v>3.7499999999999978E-2</v>
      </c>
      <c r="Q181" s="71"/>
      <c r="R181" s="71"/>
    </row>
    <row r="182" spans="2:22" x14ac:dyDescent="0.25">
      <c r="B182" s="139">
        <v>44000</v>
      </c>
      <c r="C182" s="47" t="s">
        <v>8</v>
      </c>
      <c r="D182" s="35">
        <v>0.32361111111111113</v>
      </c>
      <c r="E182" s="35">
        <v>0.44236111111111115</v>
      </c>
      <c r="F182" s="35">
        <v>0.46111111111111108</v>
      </c>
      <c r="G182" s="30">
        <f t="shared" si="59"/>
        <v>1.8749999999999933E-2</v>
      </c>
      <c r="H182" s="13">
        <f t="shared" si="54"/>
        <v>4.8611111111110453E-3</v>
      </c>
      <c r="I182" s="36"/>
      <c r="J182" s="36"/>
      <c r="K182" s="35">
        <f t="shared" si="60"/>
        <v>0</v>
      </c>
      <c r="L182" s="32">
        <v>0.61736111111111114</v>
      </c>
      <c r="M182" s="32">
        <f t="shared" si="61"/>
        <v>0.28888888888888897</v>
      </c>
      <c r="N182" s="23">
        <f>M182-$E$6</f>
        <v>-2.7777777777777124E-3</v>
      </c>
      <c r="O182" s="33">
        <f t="shared" si="62"/>
        <v>3.4722222222222265E-2</v>
      </c>
      <c r="P182" s="67">
        <f>P181+N182</f>
        <v>3.4722222222222265E-2</v>
      </c>
      <c r="Q182" s="71"/>
      <c r="R182" s="71"/>
    </row>
    <row r="183" spans="2:22" x14ac:dyDescent="0.25">
      <c r="B183" s="139">
        <v>44001</v>
      </c>
      <c r="C183" s="47" t="s">
        <v>9</v>
      </c>
      <c r="D183" s="35">
        <v>0.32500000000000001</v>
      </c>
      <c r="E183" s="35">
        <v>0.43888888888888888</v>
      </c>
      <c r="F183" s="35">
        <v>0.45277777777777778</v>
      </c>
      <c r="G183" s="30">
        <f t="shared" si="59"/>
        <v>1.3888888888888895E-2</v>
      </c>
      <c r="H183" s="13" t="b">
        <f t="shared" si="54"/>
        <v>0</v>
      </c>
      <c r="I183" s="36"/>
      <c r="J183" s="36"/>
      <c r="K183" s="35">
        <f t="shared" si="60"/>
        <v>0</v>
      </c>
      <c r="L183" s="32">
        <v>0.62569444444444444</v>
      </c>
      <c r="M183" s="32">
        <f t="shared" si="61"/>
        <v>0.30069444444444443</v>
      </c>
      <c r="N183" s="23">
        <f>M183-$E$6</f>
        <v>9.0277777777777457E-3</v>
      </c>
      <c r="O183" s="33">
        <f t="shared" si="62"/>
        <v>4.3750000000000011E-2</v>
      </c>
      <c r="P183" s="67">
        <f>P182+N183</f>
        <v>4.3750000000000011E-2</v>
      </c>
      <c r="Q183" s="72">
        <f t="shared" ref="Q183" si="68">SUM(M179:M183)</f>
        <v>1.5020833333333334</v>
      </c>
      <c r="R183" s="72">
        <f t="shared" ref="R183" si="69">Q183/5</f>
        <v>0.30041666666666667</v>
      </c>
    </row>
    <row r="184" spans="2:22" x14ac:dyDescent="0.25">
      <c r="B184" s="139">
        <v>44002</v>
      </c>
      <c r="C184" s="48" t="s">
        <v>21</v>
      </c>
      <c r="D184" s="43"/>
      <c r="E184" s="43"/>
      <c r="F184" s="43"/>
      <c r="G184" s="34"/>
      <c r="H184" s="25"/>
      <c r="I184" s="28"/>
      <c r="J184" s="28"/>
      <c r="K184" s="43"/>
      <c r="L184" s="27"/>
      <c r="M184" s="27"/>
      <c r="N184" s="44"/>
      <c r="O184" s="26"/>
      <c r="P184" s="65"/>
      <c r="Q184" s="71"/>
      <c r="R184" s="71"/>
    </row>
    <row r="185" spans="2:22" x14ac:dyDescent="0.25">
      <c r="B185" s="139">
        <v>44003</v>
      </c>
      <c r="C185" s="48" t="s">
        <v>22</v>
      </c>
      <c r="D185" s="43"/>
      <c r="E185" s="43"/>
      <c r="F185" s="43"/>
      <c r="G185" s="34"/>
      <c r="H185" s="28"/>
      <c r="I185" s="28"/>
      <c r="J185" s="28"/>
      <c r="K185" s="43"/>
      <c r="L185" s="27"/>
      <c r="M185" s="27"/>
      <c r="N185" s="44"/>
      <c r="O185" s="26"/>
      <c r="P185" s="65"/>
      <c r="Q185" s="71"/>
      <c r="R185" s="71"/>
    </row>
    <row r="186" spans="2:22" x14ac:dyDescent="0.25">
      <c r="B186" s="139">
        <v>44004</v>
      </c>
      <c r="C186" s="47" t="s">
        <v>6</v>
      </c>
      <c r="D186" s="35">
        <v>0.32013888888888892</v>
      </c>
      <c r="E186" s="35">
        <v>0.44513888888888892</v>
      </c>
      <c r="F186" s="35">
        <v>0.46527777777777773</v>
      </c>
      <c r="G186" s="30">
        <f t="shared" si="59"/>
        <v>2.0138888888888817E-2</v>
      </c>
      <c r="H186" s="13">
        <f t="shared" si="54"/>
        <v>6.2499999999999292E-3</v>
      </c>
      <c r="I186" s="36"/>
      <c r="J186" s="36"/>
      <c r="K186" s="35">
        <f t="shared" si="60"/>
        <v>0</v>
      </c>
      <c r="L186" s="32">
        <v>0.62708333333333333</v>
      </c>
      <c r="M186" s="32">
        <f t="shared" si="61"/>
        <v>0.30069444444444449</v>
      </c>
      <c r="N186" s="23">
        <f>M186-$E$6</f>
        <v>9.0277777777778012E-3</v>
      </c>
      <c r="O186" s="33">
        <f t="shared" si="62"/>
        <v>9.0277777777778012E-3</v>
      </c>
      <c r="P186" s="67">
        <f>P185+N186</f>
        <v>9.0277777777778012E-3</v>
      </c>
      <c r="Q186" s="71"/>
      <c r="R186" s="71"/>
    </row>
    <row r="187" spans="2:22" x14ac:dyDescent="0.25">
      <c r="B187" s="139">
        <v>44005</v>
      </c>
      <c r="C187" s="47" t="s">
        <v>7</v>
      </c>
      <c r="D187" s="35">
        <v>0.3298611111111111</v>
      </c>
      <c r="E187" s="35"/>
      <c r="F187" s="35"/>
      <c r="G187" s="30">
        <f t="shared" si="59"/>
        <v>0</v>
      </c>
      <c r="H187" s="13" t="b">
        <f t="shared" si="54"/>
        <v>0</v>
      </c>
      <c r="I187" s="36"/>
      <c r="J187" s="36"/>
      <c r="K187" s="35">
        <f t="shared" si="60"/>
        <v>0</v>
      </c>
      <c r="L187" s="32">
        <v>0.62708333333333333</v>
      </c>
      <c r="M187" s="32">
        <f t="shared" si="61"/>
        <v>0.29722222222222222</v>
      </c>
      <c r="N187" s="23">
        <f>M187-$E$6</f>
        <v>5.5555555555555358E-3</v>
      </c>
      <c r="O187" s="33">
        <f t="shared" si="62"/>
        <v>1.4583333333333337E-2</v>
      </c>
      <c r="P187" s="67">
        <f>P186+N187</f>
        <v>1.4583333333333337E-2</v>
      </c>
      <c r="Q187" s="71"/>
      <c r="R187" s="71"/>
    </row>
    <row r="188" spans="2:22" x14ac:dyDescent="0.25">
      <c r="B188" s="139">
        <v>44006</v>
      </c>
      <c r="C188" s="47" t="s">
        <v>23</v>
      </c>
      <c r="D188" s="35">
        <v>0.32361111111111113</v>
      </c>
      <c r="E188" s="35">
        <v>0.44722222222222219</v>
      </c>
      <c r="F188" s="35">
        <v>0.46597222222222223</v>
      </c>
      <c r="G188" s="30">
        <f t="shared" si="59"/>
        <v>1.8750000000000044E-2</v>
      </c>
      <c r="H188" s="13">
        <f t="shared" si="54"/>
        <v>4.8611111111111563E-3</v>
      </c>
      <c r="I188" s="36"/>
      <c r="J188" s="36"/>
      <c r="K188" s="35">
        <f t="shared" si="60"/>
        <v>0</v>
      </c>
      <c r="L188" s="32">
        <v>0.62638888888888888</v>
      </c>
      <c r="M188" s="32">
        <f t="shared" si="61"/>
        <v>0.29791666666666661</v>
      </c>
      <c r="N188" s="23">
        <f>M188-$E$6</f>
        <v>6.2499999999999223E-3</v>
      </c>
      <c r="O188" s="33">
        <f t="shared" si="62"/>
        <v>2.0833333333333259E-2</v>
      </c>
      <c r="P188" s="67">
        <f>P187+N188</f>
        <v>2.0833333333333259E-2</v>
      </c>
      <c r="Q188" s="71"/>
      <c r="R188" s="71"/>
    </row>
    <row r="189" spans="2:22" x14ac:dyDescent="0.25">
      <c r="B189" s="139">
        <v>44007</v>
      </c>
      <c r="C189" s="47" t="s">
        <v>8</v>
      </c>
      <c r="D189" s="35">
        <v>0.32291666666666669</v>
      </c>
      <c r="E189" s="35">
        <v>0.44513888888888892</v>
      </c>
      <c r="F189" s="35">
        <v>0.46319444444444446</v>
      </c>
      <c r="G189" s="30">
        <f t="shared" ref="G189:G190" si="70">F189-E189</f>
        <v>1.8055555555555547E-2</v>
      </c>
      <c r="H189" s="13">
        <f t="shared" si="54"/>
        <v>4.1666666666666588E-3</v>
      </c>
      <c r="I189" s="36"/>
      <c r="J189" s="36"/>
      <c r="K189" s="35">
        <f t="shared" ref="K189:K190" si="71">J189-I189</f>
        <v>0</v>
      </c>
      <c r="L189" s="32">
        <v>0.62569444444444444</v>
      </c>
      <c r="M189" s="32">
        <f t="shared" ref="M189:M190" si="72">(L189-D189)-H189-K189</f>
        <v>0.2986111111111111</v>
      </c>
      <c r="N189" s="23">
        <f>M189-$E$6</f>
        <v>6.9444444444444198E-3</v>
      </c>
      <c r="O189" s="33">
        <f t="shared" ref="O189:O190" si="73">O188+N189</f>
        <v>2.7777777777777679E-2</v>
      </c>
      <c r="P189" s="67">
        <f>P188+N189</f>
        <v>2.7777777777777679E-2</v>
      </c>
      <c r="Q189" s="71"/>
      <c r="R189" s="71"/>
    </row>
    <row r="190" spans="2:22" x14ac:dyDescent="0.25">
      <c r="B190" s="139">
        <v>44008</v>
      </c>
      <c r="C190" s="47" t="s">
        <v>9</v>
      </c>
      <c r="D190" s="35">
        <v>0.3215277777777778</v>
      </c>
      <c r="E190" s="35">
        <v>0.4375</v>
      </c>
      <c r="F190" s="35">
        <v>0.4604166666666667</v>
      </c>
      <c r="G190" s="30">
        <f t="shared" si="70"/>
        <v>2.2916666666666696E-2</v>
      </c>
      <c r="H190" s="13">
        <f t="shared" si="54"/>
        <v>9.0277777777778082E-3</v>
      </c>
      <c r="I190" s="36"/>
      <c r="J190" s="36"/>
      <c r="K190" s="35">
        <f t="shared" si="71"/>
        <v>0</v>
      </c>
      <c r="L190" s="32">
        <v>0.62986111111111109</v>
      </c>
      <c r="M190" s="32">
        <f t="shared" si="72"/>
        <v>0.29930555555555549</v>
      </c>
      <c r="N190" s="23">
        <f>M190-$E$6</f>
        <v>7.6388888888888062E-3</v>
      </c>
      <c r="O190" s="33">
        <f t="shared" si="73"/>
        <v>3.5416666666666485E-2</v>
      </c>
      <c r="P190" s="67">
        <f>P189+N190</f>
        <v>3.5416666666666485E-2</v>
      </c>
      <c r="Q190" s="72">
        <f t="shared" ref="Q190" si="74">SUM(M186:M190)</f>
        <v>1.4937499999999999</v>
      </c>
      <c r="R190" s="72">
        <f t="shared" ref="R190" si="75">Q190/5</f>
        <v>0.29874999999999996</v>
      </c>
    </row>
    <row r="191" spans="2:22" x14ac:dyDescent="0.25">
      <c r="B191" s="139">
        <v>44009</v>
      </c>
      <c r="C191" s="48" t="s">
        <v>21</v>
      </c>
      <c r="D191" s="43"/>
      <c r="E191" s="43"/>
      <c r="F191" s="43"/>
      <c r="G191" s="34"/>
      <c r="H191" s="25"/>
      <c r="I191" s="28"/>
      <c r="J191" s="28"/>
      <c r="K191" s="43"/>
      <c r="L191" s="27"/>
      <c r="M191" s="27"/>
      <c r="N191" s="44"/>
      <c r="O191" s="26"/>
      <c r="P191" s="65"/>
      <c r="Q191" s="71"/>
      <c r="R191" s="71"/>
    </row>
    <row r="192" spans="2:22" x14ac:dyDescent="0.25">
      <c r="B192" s="139">
        <v>44010</v>
      </c>
      <c r="C192" s="48" t="s">
        <v>22</v>
      </c>
      <c r="D192" s="43"/>
      <c r="E192" s="43"/>
      <c r="F192" s="43"/>
      <c r="G192" s="34"/>
      <c r="H192" s="28"/>
      <c r="I192" s="28"/>
      <c r="J192" s="28"/>
      <c r="K192" s="43"/>
      <c r="L192" s="27"/>
      <c r="M192" s="27"/>
      <c r="N192" s="44"/>
      <c r="O192" s="26"/>
      <c r="P192" s="65"/>
      <c r="Q192" s="71"/>
      <c r="R192" s="71"/>
      <c r="T192" s="178" t="s">
        <v>61</v>
      </c>
      <c r="U192" s="177" t="s">
        <v>71</v>
      </c>
      <c r="V192" s="180" t="s">
        <v>72</v>
      </c>
    </row>
    <row r="193" spans="2:22" x14ac:dyDescent="0.25">
      <c r="B193" s="139">
        <v>44011</v>
      </c>
      <c r="C193" s="47" t="s">
        <v>6</v>
      </c>
      <c r="D193" s="35">
        <v>0.33333333333333331</v>
      </c>
      <c r="E193" s="35">
        <v>0.43541666666666662</v>
      </c>
      <c r="F193" s="35">
        <v>0.45416666666666666</v>
      </c>
      <c r="G193" s="30">
        <f t="shared" ref="G193" si="76">F193-E193</f>
        <v>1.8750000000000044E-2</v>
      </c>
      <c r="H193" s="13">
        <f t="shared" si="54"/>
        <v>4.8611111111111563E-3</v>
      </c>
      <c r="I193" s="36"/>
      <c r="J193" s="36"/>
      <c r="K193" s="35">
        <f t="shared" ref="K193" si="77">J193-I193</f>
        <v>0</v>
      </c>
      <c r="L193" s="32">
        <v>0.625</v>
      </c>
      <c r="M193" s="32">
        <f t="shared" ref="M193" si="78">(L193-D193)-H193-K193</f>
        <v>0.28680555555555554</v>
      </c>
      <c r="N193" s="23">
        <f>M193-$E$6</f>
        <v>-4.8611111111111494E-3</v>
      </c>
      <c r="O193" s="33">
        <f>O192+N193</f>
        <v>-4.8611111111111494E-3</v>
      </c>
      <c r="P193" s="67">
        <f>P192+N193</f>
        <v>-4.8611111111111494E-3</v>
      </c>
      <c r="Q193" s="71"/>
      <c r="R193" s="71"/>
      <c r="T193" s="179">
        <f>SUM(M164:M193)</f>
        <v>5.8423611111111127</v>
      </c>
      <c r="U193" s="165">
        <f>T193/21</f>
        <v>0.27820767195767204</v>
      </c>
      <c r="V193" s="181">
        <f>D6*8+E6*11</f>
        <v>5.7583333333333337</v>
      </c>
    </row>
    <row r="194" spans="2:22" x14ac:dyDescent="0.25">
      <c r="B194" s="139">
        <v>44012</v>
      </c>
      <c r="C194" s="47" t="s">
        <v>7</v>
      </c>
      <c r="D194" s="35">
        <v>0.33194444444444443</v>
      </c>
      <c r="E194" s="35">
        <v>0.44861111111111113</v>
      </c>
      <c r="F194" s="35">
        <v>0.46319444444444446</v>
      </c>
      <c r="G194" s="30">
        <f t="shared" ref="G194:G218" si="79">F194-E194</f>
        <v>1.4583333333333337E-2</v>
      </c>
      <c r="H194" s="13">
        <f t="shared" si="54"/>
        <v>6.9444444444444892E-4</v>
      </c>
      <c r="I194" s="36"/>
      <c r="J194" s="36"/>
      <c r="K194" s="35">
        <f t="shared" ref="K194:K218" si="80">J194-I194</f>
        <v>0</v>
      </c>
      <c r="L194" s="32">
        <v>0.62638888888888888</v>
      </c>
      <c r="M194" s="32">
        <f t="shared" ref="M194:M218" si="81">(L194-D194)-H194-K194</f>
        <v>0.29375000000000001</v>
      </c>
      <c r="N194" s="23">
        <f>M194-$E$6</f>
        <v>2.0833333333333259E-3</v>
      </c>
      <c r="O194" s="33">
        <f t="shared" ref="O194:O218" si="82">O193+N194</f>
        <v>-2.7777777777778234E-3</v>
      </c>
      <c r="P194" s="67">
        <f>P193+N194</f>
        <v>-2.7777777777778234E-3</v>
      </c>
      <c r="Q194" s="71"/>
      <c r="R194" s="71"/>
      <c r="T194" s="164"/>
    </row>
    <row r="195" spans="2:22" x14ac:dyDescent="0.25">
      <c r="B195" s="139">
        <v>44013</v>
      </c>
      <c r="C195" s="47" t="s">
        <v>23</v>
      </c>
      <c r="D195" s="35">
        <v>0.33402777777777781</v>
      </c>
      <c r="E195" s="35">
        <v>0.44444444444444442</v>
      </c>
      <c r="F195" s="35">
        <v>0.45694444444444443</v>
      </c>
      <c r="G195" s="30">
        <f t="shared" si="79"/>
        <v>1.2500000000000011E-2</v>
      </c>
      <c r="H195" s="13" t="b">
        <f t="shared" si="54"/>
        <v>0</v>
      </c>
      <c r="I195" s="36"/>
      <c r="J195" s="36"/>
      <c r="K195" s="35">
        <f t="shared" si="80"/>
        <v>0</v>
      </c>
      <c r="L195" s="32">
        <v>0.62708333333333333</v>
      </c>
      <c r="M195" s="32">
        <f t="shared" si="81"/>
        <v>0.29305555555555551</v>
      </c>
      <c r="N195" s="23">
        <f>M195-$E$6</f>
        <v>1.3888888888888284E-3</v>
      </c>
      <c r="O195" s="33">
        <f t="shared" si="82"/>
        <v>-1.388888888888995E-3</v>
      </c>
      <c r="P195" s="67">
        <f>P194+N195</f>
        <v>-1.388888888888995E-3</v>
      </c>
      <c r="Q195" s="71"/>
      <c r="R195" s="71"/>
    </row>
    <row r="196" spans="2:22" x14ac:dyDescent="0.25">
      <c r="B196" s="139">
        <v>44014</v>
      </c>
      <c r="C196" s="47" t="s">
        <v>8</v>
      </c>
      <c r="D196" s="35">
        <v>0.33055555555555555</v>
      </c>
      <c r="E196" s="35">
        <v>0.4375</v>
      </c>
      <c r="F196" s="35">
        <v>0.45555555555555555</v>
      </c>
      <c r="G196" s="30">
        <f t="shared" si="79"/>
        <v>1.8055555555555547E-2</v>
      </c>
      <c r="H196" s="13">
        <f t="shared" si="54"/>
        <v>4.1666666666666588E-3</v>
      </c>
      <c r="I196" s="36"/>
      <c r="J196" s="36"/>
      <c r="K196" s="35">
        <f t="shared" si="80"/>
        <v>0</v>
      </c>
      <c r="L196" s="32">
        <v>0.62638888888888888</v>
      </c>
      <c r="M196" s="32">
        <f t="shared" si="81"/>
        <v>0.29166666666666669</v>
      </c>
      <c r="N196" s="23">
        <f>M196-$E$6</f>
        <v>0</v>
      </c>
      <c r="O196" s="33">
        <f t="shared" si="82"/>
        <v>-1.388888888888995E-3</v>
      </c>
      <c r="P196" s="67">
        <f>P195+N196</f>
        <v>-1.388888888888995E-3</v>
      </c>
      <c r="Q196" s="71"/>
      <c r="R196" s="71"/>
    </row>
    <row r="197" spans="2:22" x14ac:dyDescent="0.25">
      <c r="B197" s="139">
        <v>44015</v>
      </c>
      <c r="C197" s="47" t="s">
        <v>9</v>
      </c>
      <c r="D197" s="35">
        <v>0.3354166666666667</v>
      </c>
      <c r="E197" s="35">
        <v>0.44236111111111115</v>
      </c>
      <c r="F197" s="35">
        <v>0.45694444444444443</v>
      </c>
      <c r="G197" s="30">
        <f t="shared" si="79"/>
        <v>1.4583333333333282E-2</v>
      </c>
      <c r="H197" s="13">
        <f t="shared" si="54"/>
        <v>6.9444444444439341E-4</v>
      </c>
      <c r="I197" s="36"/>
      <c r="J197" s="36"/>
      <c r="K197" s="35">
        <f t="shared" si="80"/>
        <v>0</v>
      </c>
      <c r="L197" s="32">
        <v>0.62777777777777777</v>
      </c>
      <c r="M197" s="32">
        <f t="shared" si="81"/>
        <v>0.29166666666666669</v>
      </c>
      <c r="N197" s="23">
        <f>M197-$E$6</f>
        <v>0</v>
      </c>
      <c r="O197" s="33">
        <f t="shared" si="82"/>
        <v>-1.388888888888995E-3</v>
      </c>
      <c r="P197" s="67">
        <f>P196+N197</f>
        <v>-1.388888888888995E-3</v>
      </c>
      <c r="Q197" s="72">
        <f t="shared" ref="Q197" si="83">SUM(M193:M197)</f>
        <v>1.4569444444444444</v>
      </c>
      <c r="R197" s="72">
        <f t="shared" ref="R197" si="84">Q197/5</f>
        <v>0.29138888888888886</v>
      </c>
    </row>
    <row r="198" spans="2:22" x14ac:dyDescent="0.25">
      <c r="B198" s="139">
        <v>44016</v>
      </c>
      <c r="C198" s="48" t="s">
        <v>21</v>
      </c>
      <c r="D198" s="43"/>
      <c r="E198" s="43"/>
      <c r="F198" s="43"/>
      <c r="G198" s="34"/>
      <c r="H198" s="25"/>
      <c r="I198" s="28"/>
      <c r="J198" s="28"/>
      <c r="K198" s="43"/>
      <c r="L198" s="27"/>
      <c r="M198" s="27"/>
      <c r="N198" s="44"/>
      <c r="O198" s="26"/>
      <c r="P198" s="65"/>
      <c r="Q198" s="71"/>
      <c r="R198" s="71"/>
    </row>
    <row r="199" spans="2:22" x14ac:dyDescent="0.25">
      <c r="B199" s="139">
        <v>44017</v>
      </c>
      <c r="C199" s="48" t="s">
        <v>22</v>
      </c>
      <c r="D199" s="43"/>
      <c r="E199" s="43"/>
      <c r="F199" s="43"/>
      <c r="G199" s="34"/>
      <c r="H199" s="28"/>
      <c r="I199" s="28"/>
      <c r="J199" s="28"/>
      <c r="K199" s="43"/>
      <c r="L199" s="27"/>
      <c r="M199" s="27"/>
      <c r="N199" s="44"/>
      <c r="O199" s="26"/>
      <c r="P199" s="65"/>
      <c r="Q199" s="71"/>
      <c r="R199" s="71"/>
    </row>
    <row r="200" spans="2:22" x14ac:dyDescent="0.25">
      <c r="B200" s="139">
        <v>44018</v>
      </c>
      <c r="C200" s="47" t="s">
        <v>6</v>
      </c>
      <c r="D200" s="35">
        <v>0.3354166666666667</v>
      </c>
      <c r="E200" s="35">
        <v>0.44027777777777777</v>
      </c>
      <c r="F200" s="35">
        <v>0.46527777777777773</v>
      </c>
      <c r="G200" s="30">
        <f t="shared" si="79"/>
        <v>2.4999999999999967E-2</v>
      </c>
      <c r="H200" s="13">
        <f t="shared" si="54"/>
        <v>1.1111111111111079E-2</v>
      </c>
      <c r="I200" s="36"/>
      <c r="J200" s="36"/>
      <c r="K200" s="35">
        <f t="shared" si="80"/>
        <v>0</v>
      </c>
      <c r="L200" s="32">
        <v>0.62638888888888888</v>
      </c>
      <c r="M200" s="32">
        <f t="shared" si="81"/>
        <v>0.27986111111111112</v>
      </c>
      <c r="N200" s="23">
        <f>M200-$E$6</f>
        <v>-1.1805555555555569E-2</v>
      </c>
      <c r="O200" s="33">
        <f t="shared" si="82"/>
        <v>-1.1805555555555569E-2</v>
      </c>
      <c r="P200" s="67">
        <f>P199+N200</f>
        <v>-1.1805555555555569E-2</v>
      </c>
      <c r="Q200" s="71"/>
      <c r="R200" s="71"/>
    </row>
    <row r="201" spans="2:22" x14ac:dyDescent="0.25">
      <c r="B201" s="139">
        <v>44019</v>
      </c>
      <c r="C201" s="47" t="s">
        <v>7</v>
      </c>
      <c r="D201" s="35">
        <v>0.33055555555555555</v>
      </c>
      <c r="E201" s="35">
        <v>0.4465277777777778</v>
      </c>
      <c r="F201" s="35">
        <v>0.46319444444444446</v>
      </c>
      <c r="G201" s="30">
        <f t="shared" si="79"/>
        <v>1.6666666666666663E-2</v>
      </c>
      <c r="H201" s="13">
        <f t="shared" si="54"/>
        <v>2.7777777777777748E-3</v>
      </c>
      <c r="I201" s="36"/>
      <c r="J201" s="36"/>
      <c r="K201" s="35">
        <f t="shared" si="80"/>
        <v>0</v>
      </c>
      <c r="L201" s="32">
        <v>0.62638888888888888</v>
      </c>
      <c r="M201" s="32">
        <f t="shared" si="81"/>
        <v>0.29305555555555557</v>
      </c>
      <c r="N201" s="23">
        <f>M201-$E$6</f>
        <v>1.388888888888884E-3</v>
      </c>
      <c r="O201" s="33">
        <f t="shared" si="82"/>
        <v>-1.0416666666666685E-2</v>
      </c>
      <c r="P201" s="67">
        <f>P200+N201</f>
        <v>-1.0416666666666685E-2</v>
      </c>
      <c r="Q201" s="71"/>
      <c r="R201" s="71"/>
    </row>
    <row r="202" spans="2:22" x14ac:dyDescent="0.25">
      <c r="B202" s="139">
        <v>44020</v>
      </c>
      <c r="C202" s="47" t="s">
        <v>23</v>
      </c>
      <c r="D202" s="35">
        <v>0.32777777777777778</v>
      </c>
      <c r="E202" s="35">
        <v>0.48402777777777778</v>
      </c>
      <c r="F202" s="35">
        <v>0.50555555555555554</v>
      </c>
      <c r="G202" s="30">
        <f t="shared" si="79"/>
        <v>2.1527777777777757E-2</v>
      </c>
      <c r="H202" s="13">
        <f t="shared" si="54"/>
        <v>7.6388888888888687E-3</v>
      </c>
      <c r="I202" s="36"/>
      <c r="J202" s="36"/>
      <c r="K202" s="35">
        <f t="shared" si="80"/>
        <v>0</v>
      </c>
      <c r="L202" s="32">
        <v>0.62569444444444444</v>
      </c>
      <c r="M202" s="32">
        <f t="shared" si="81"/>
        <v>0.2902777777777778</v>
      </c>
      <c r="N202" s="23">
        <f>M202-$E$6</f>
        <v>-1.388888888888884E-3</v>
      </c>
      <c r="O202" s="33">
        <f t="shared" si="82"/>
        <v>-1.1805555555555569E-2</v>
      </c>
      <c r="P202" s="67">
        <f>P201+N202</f>
        <v>-1.1805555555555569E-2</v>
      </c>
      <c r="Q202" s="71"/>
      <c r="R202" s="71"/>
    </row>
    <row r="203" spans="2:22" x14ac:dyDescent="0.25">
      <c r="B203" s="139">
        <v>44021</v>
      </c>
      <c r="C203" s="47" t="s">
        <v>8</v>
      </c>
      <c r="D203" s="35">
        <v>0.32291666666666669</v>
      </c>
      <c r="E203" s="35">
        <v>0.44513888888888892</v>
      </c>
      <c r="F203" s="35">
        <v>0.46249999999999997</v>
      </c>
      <c r="G203" s="30">
        <f t="shared" si="79"/>
        <v>1.7361111111111049E-2</v>
      </c>
      <c r="H203" s="13">
        <f t="shared" si="54"/>
        <v>3.4722222222221613E-3</v>
      </c>
      <c r="I203" s="36"/>
      <c r="J203" s="36"/>
      <c r="K203" s="35">
        <f t="shared" si="80"/>
        <v>0</v>
      </c>
      <c r="L203" s="32">
        <v>0.62638888888888888</v>
      </c>
      <c r="M203" s="32">
        <f t="shared" si="81"/>
        <v>0.30000000000000004</v>
      </c>
      <c r="N203" s="23">
        <f>M203-$E$6</f>
        <v>8.3333333333333592E-3</v>
      </c>
      <c r="O203" s="33">
        <f t="shared" si="82"/>
        <v>-3.4722222222222099E-3</v>
      </c>
      <c r="P203" s="67">
        <f>P202+N203</f>
        <v>-3.4722222222222099E-3</v>
      </c>
      <c r="Q203" s="71"/>
      <c r="R203" s="71"/>
    </row>
    <row r="204" spans="2:22" x14ac:dyDescent="0.25">
      <c r="B204" s="139">
        <v>44022</v>
      </c>
      <c r="C204" s="47" t="s">
        <v>9</v>
      </c>
      <c r="D204" s="35">
        <v>0.32500000000000001</v>
      </c>
      <c r="E204" s="35">
        <v>0.4458333333333333</v>
      </c>
      <c r="F204" s="35">
        <v>0.46666666666666662</v>
      </c>
      <c r="G204" s="30">
        <f t="shared" si="79"/>
        <v>2.0833333333333315E-2</v>
      </c>
      <c r="H204" s="13">
        <f t="shared" si="54"/>
        <v>6.9444444444444267E-3</v>
      </c>
      <c r="I204" s="36"/>
      <c r="J204" s="36"/>
      <c r="K204" s="35">
        <f t="shared" si="80"/>
        <v>0</v>
      </c>
      <c r="L204" s="32">
        <v>0.62638888888888888</v>
      </c>
      <c r="M204" s="32">
        <f t="shared" si="81"/>
        <v>0.29444444444444445</v>
      </c>
      <c r="N204" s="23">
        <f>M204-$E$6</f>
        <v>2.7777777777777679E-3</v>
      </c>
      <c r="O204" s="33">
        <f t="shared" si="82"/>
        <v>-6.9444444444444198E-4</v>
      </c>
      <c r="P204" s="67">
        <f>P203+N204</f>
        <v>-6.9444444444444198E-4</v>
      </c>
      <c r="Q204" s="72">
        <f t="shared" ref="Q204" si="85">SUM(M200:M204)</f>
        <v>1.4576388888888892</v>
      </c>
      <c r="R204" s="72">
        <f t="shared" ref="R204" si="86">Q204/5</f>
        <v>0.29152777777777783</v>
      </c>
    </row>
    <row r="205" spans="2:22" x14ac:dyDescent="0.25">
      <c r="B205" s="139">
        <v>44023</v>
      </c>
      <c r="C205" s="48" t="s">
        <v>21</v>
      </c>
      <c r="D205" s="43"/>
      <c r="E205" s="43"/>
      <c r="F205" s="43"/>
      <c r="G205" s="34"/>
      <c r="H205" s="25"/>
      <c r="I205" s="28"/>
      <c r="J205" s="28"/>
      <c r="K205" s="43"/>
      <c r="L205" s="27"/>
      <c r="M205" s="27"/>
      <c r="N205" s="44"/>
      <c r="O205" s="26"/>
      <c r="P205" s="65"/>
      <c r="Q205" s="71"/>
      <c r="R205" s="71"/>
    </row>
    <row r="206" spans="2:22" x14ac:dyDescent="0.25">
      <c r="B206" s="139">
        <v>44024</v>
      </c>
      <c r="C206" s="48" t="s">
        <v>22</v>
      </c>
      <c r="D206" s="43"/>
      <c r="E206" s="43"/>
      <c r="F206" s="43"/>
      <c r="G206" s="34"/>
      <c r="H206" s="28"/>
      <c r="I206" s="28"/>
      <c r="J206" s="28"/>
      <c r="K206" s="43"/>
      <c r="L206" s="27"/>
      <c r="M206" s="27"/>
      <c r="N206" s="44"/>
      <c r="O206" s="26"/>
      <c r="P206" s="65"/>
      <c r="Q206" s="71"/>
      <c r="R206" s="71"/>
    </row>
    <row r="207" spans="2:22" x14ac:dyDescent="0.25">
      <c r="B207" s="139">
        <v>44025</v>
      </c>
      <c r="C207" s="47" t="s">
        <v>6</v>
      </c>
      <c r="D207" s="35">
        <v>0.33680555555555558</v>
      </c>
      <c r="E207" s="35">
        <v>0.44027777777777777</v>
      </c>
      <c r="F207" s="35">
        <v>0.46111111111111108</v>
      </c>
      <c r="G207" s="30">
        <f t="shared" si="79"/>
        <v>2.0833333333333315E-2</v>
      </c>
      <c r="H207" s="13">
        <f t="shared" si="54"/>
        <v>6.9444444444444267E-3</v>
      </c>
      <c r="I207" s="36"/>
      <c r="J207" s="36"/>
      <c r="K207" s="35">
        <f t="shared" si="80"/>
        <v>0</v>
      </c>
      <c r="L207" s="32">
        <v>0.62847222222222221</v>
      </c>
      <c r="M207" s="32">
        <f t="shared" si="81"/>
        <v>0.28472222222222221</v>
      </c>
      <c r="N207" s="23">
        <f>M207-$E$6</f>
        <v>-6.9444444444444753E-3</v>
      </c>
      <c r="O207" s="33">
        <f t="shared" si="82"/>
        <v>-6.9444444444444753E-3</v>
      </c>
      <c r="P207" s="67">
        <f>P206+N207</f>
        <v>-6.9444444444444753E-3</v>
      </c>
      <c r="Q207" s="71"/>
      <c r="R207" s="71"/>
    </row>
    <row r="208" spans="2:22" x14ac:dyDescent="0.25">
      <c r="B208" s="139">
        <v>44026</v>
      </c>
      <c r="C208" s="47" t="s">
        <v>7</v>
      </c>
      <c r="D208" s="35">
        <v>0.33124999999999999</v>
      </c>
      <c r="E208" s="35"/>
      <c r="F208" s="35"/>
      <c r="G208" s="30">
        <f t="shared" si="79"/>
        <v>0</v>
      </c>
      <c r="H208" s="13" t="b">
        <f t="shared" si="54"/>
        <v>0</v>
      </c>
      <c r="I208" s="36"/>
      <c r="J208" s="36"/>
      <c r="K208" s="35">
        <f t="shared" si="80"/>
        <v>0</v>
      </c>
      <c r="L208" s="32">
        <v>0.62708333333333333</v>
      </c>
      <c r="M208" s="32">
        <f t="shared" si="81"/>
        <v>0.29583333333333334</v>
      </c>
      <c r="N208" s="23">
        <f>M208-$E$6</f>
        <v>4.1666666666666519E-3</v>
      </c>
      <c r="O208" s="33">
        <f t="shared" si="82"/>
        <v>-2.7777777777778234E-3</v>
      </c>
      <c r="P208" s="67">
        <f>P207+N208</f>
        <v>-2.7777777777778234E-3</v>
      </c>
      <c r="Q208" s="71"/>
      <c r="R208" s="71"/>
    </row>
    <row r="209" spans="2:18" x14ac:dyDescent="0.25">
      <c r="B209" s="139">
        <v>44027</v>
      </c>
      <c r="C209" s="47" t="s">
        <v>23</v>
      </c>
      <c r="D209" s="35">
        <v>0.31805555555555554</v>
      </c>
      <c r="E209" s="35">
        <v>0.43611111111111112</v>
      </c>
      <c r="F209" s="35">
        <v>0.44861111111111113</v>
      </c>
      <c r="G209" s="30">
        <f t="shared" si="79"/>
        <v>1.2500000000000011E-2</v>
      </c>
      <c r="H209" s="13" t="b">
        <f t="shared" si="54"/>
        <v>0</v>
      </c>
      <c r="I209" s="36"/>
      <c r="J209" s="36"/>
      <c r="K209" s="35">
        <f t="shared" si="80"/>
        <v>0</v>
      </c>
      <c r="L209" s="32">
        <v>0.62638888888888888</v>
      </c>
      <c r="M209" s="32">
        <f t="shared" si="81"/>
        <v>0.30833333333333335</v>
      </c>
      <c r="N209" s="23">
        <f>M209-$E$6</f>
        <v>1.6666666666666663E-2</v>
      </c>
      <c r="O209" s="33">
        <f t="shared" si="82"/>
        <v>1.388888888888884E-2</v>
      </c>
      <c r="P209" s="67">
        <f>P208+N209</f>
        <v>1.388888888888884E-2</v>
      </c>
      <c r="Q209" s="71"/>
      <c r="R209" s="71"/>
    </row>
    <row r="210" spans="2:18" x14ac:dyDescent="0.25">
      <c r="B210" s="139">
        <v>44028</v>
      </c>
      <c r="C210" s="47" t="s">
        <v>8</v>
      </c>
      <c r="D210" s="35">
        <v>0.33819444444444446</v>
      </c>
      <c r="E210" s="35"/>
      <c r="F210" s="35"/>
      <c r="G210" s="30">
        <f t="shared" si="79"/>
        <v>0</v>
      </c>
      <c r="H210" s="13" t="b">
        <f t="shared" si="54"/>
        <v>0</v>
      </c>
      <c r="I210" s="36"/>
      <c r="J210" s="36"/>
      <c r="K210" s="35">
        <f t="shared" si="80"/>
        <v>0</v>
      </c>
      <c r="L210" s="32">
        <v>0.625</v>
      </c>
      <c r="M210" s="32">
        <f t="shared" si="81"/>
        <v>0.28680555555555554</v>
      </c>
      <c r="N210" s="23">
        <f>M210-$E$6</f>
        <v>-4.8611111111111494E-3</v>
      </c>
      <c r="O210" s="33">
        <f t="shared" si="82"/>
        <v>9.0277777777776902E-3</v>
      </c>
      <c r="P210" s="67">
        <f>P209+N210</f>
        <v>9.0277777777776902E-3</v>
      </c>
      <c r="Q210" s="71"/>
      <c r="R210" s="71"/>
    </row>
    <row r="211" spans="2:18" x14ac:dyDescent="0.25">
      <c r="B211" s="139">
        <v>44029</v>
      </c>
      <c r="C211" s="47" t="s">
        <v>9</v>
      </c>
      <c r="D211" s="35">
        <v>0.32222222222222224</v>
      </c>
      <c r="E211" s="35">
        <v>0.45069444444444445</v>
      </c>
      <c r="F211" s="35">
        <v>0.46597222222222223</v>
      </c>
      <c r="G211" s="30">
        <f t="shared" si="79"/>
        <v>1.5277777777777779E-2</v>
      </c>
      <c r="H211" s="13">
        <f t="shared" si="54"/>
        <v>1.3888888888888909E-3</v>
      </c>
      <c r="I211" s="36"/>
      <c r="J211" s="36"/>
      <c r="K211" s="35">
        <f t="shared" si="80"/>
        <v>0</v>
      </c>
      <c r="L211" s="32">
        <v>0.625</v>
      </c>
      <c r="M211" s="32">
        <f t="shared" si="81"/>
        <v>0.30138888888888887</v>
      </c>
      <c r="N211" s="23">
        <f>M211-$E$6</f>
        <v>9.7222222222221877E-3</v>
      </c>
      <c r="O211" s="33">
        <f t="shared" si="82"/>
        <v>1.8749999999999878E-2</v>
      </c>
      <c r="P211" s="67">
        <f>P210+N211</f>
        <v>1.8749999999999878E-2</v>
      </c>
      <c r="Q211" s="72">
        <f t="shared" ref="Q211" si="87">SUM(M207:M211)</f>
        <v>1.4770833333333333</v>
      </c>
      <c r="R211" s="72">
        <f t="shared" ref="R211" si="88">Q211/5</f>
        <v>0.29541666666666666</v>
      </c>
    </row>
    <row r="212" spans="2:18" x14ac:dyDescent="0.25">
      <c r="B212" s="139">
        <v>44030</v>
      </c>
      <c r="C212" s="48" t="s">
        <v>21</v>
      </c>
      <c r="D212" s="43"/>
      <c r="E212" s="43"/>
      <c r="F212" s="43"/>
      <c r="G212" s="34"/>
      <c r="H212" s="25"/>
      <c r="I212" s="28"/>
      <c r="J212" s="28"/>
      <c r="K212" s="43"/>
      <c r="L212" s="27"/>
      <c r="M212" s="27"/>
      <c r="N212" s="44"/>
      <c r="O212" s="26"/>
      <c r="P212" s="65"/>
      <c r="Q212" s="71"/>
      <c r="R212" s="71"/>
    </row>
    <row r="213" spans="2:18" x14ac:dyDescent="0.25">
      <c r="B213" s="139">
        <v>44031</v>
      </c>
      <c r="C213" s="48" t="s">
        <v>22</v>
      </c>
      <c r="D213" s="43"/>
      <c r="E213" s="43"/>
      <c r="F213" s="43"/>
      <c r="G213" s="34"/>
      <c r="H213" s="28"/>
      <c r="I213" s="28"/>
      <c r="J213" s="28"/>
      <c r="K213" s="43"/>
      <c r="L213" s="27"/>
      <c r="M213" s="27"/>
      <c r="N213" s="44"/>
      <c r="O213" s="26"/>
      <c r="P213" s="65"/>
      <c r="Q213" s="71"/>
      <c r="R213" s="71"/>
    </row>
    <row r="214" spans="2:18" x14ac:dyDescent="0.25">
      <c r="B214" s="139">
        <v>44032</v>
      </c>
      <c r="C214" s="47" t="s">
        <v>6</v>
      </c>
      <c r="D214" s="35">
        <v>0.32777777777777778</v>
      </c>
      <c r="E214" s="35">
        <v>0.45069444444444445</v>
      </c>
      <c r="F214" s="35">
        <v>0.46527777777777773</v>
      </c>
      <c r="G214" s="30">
        <f t="shared" si="79"/>
        <v>1.4583333333333282E-2</v>
      </c>
      <c r="H214" s="13">
        <f t="shared" si="54"/>
        <v>6.9444444444439341E-4</v>
      </c>
      <c r="I214" s="36"/>
      <c r="J214" s="36"/>
      <c r="K214" s="35">
        <f t="shared" si="80"/>
        <v>0</v>
      </c>
      <c r="L214" s="32">
        <v>0.62569444444444444</v>
      </c>
      <c r="M214" s="32">
        <f t="shared" si="81"/>
        <v>0.29722222222222228</v>
      </c>
      <c r="N214" s="23">
        <f>M214-$E$6</f>
        <v>5.5555555555555913E-3</v>
      </c>
      <c r="O214" s="33">
        <f t="shared" si="82"/>
        <v>5.5555555555555913E-3</v>
      </c>
      <c r="P214" s="67">
        <f>P213+N214</f>
        <v>5.5555555555555913E-3</v>
      </c>
      <c r="Q214" s="71"/>
      <c r="R214" s="71"/>
    </row>
    <row r="215" spans="2:18" x14ac:dyDescent="0.25">
      <c r="B215" s="139">
        <v>44033</v>
      </c>
      <c r="C215" s="47" t="s">
        <v>7</v>
      </c>
      <c r="D215" s="35">
        <v>0.3215277777777778</v>
      </c>
      <c r="E215" s="35">
        <v>0.44236111111111115</v>
      </c>
      <c r="F215" s="35">
        <v>0.45833333333333331</v>
      </c>
      <c r="G215" s="30">
        <f t="shared" si="79"/>
        <v>1.5972222222222165E-2</v>
      </c>
      <c r="H215" s="13">
        <f t="shared" si="54"/>
        <v>2.0833333333332774E-3</v>
      </c>
      <c r="I215" s="36"/>
      <c r="J215" s="36"/>
      <c r="K215" s="35">
        <f t="shared" si="80"/>
        <v>0</v>
      </c>
      <c r="L215" s="32">
        <v>0.62708333333333333</v>
      </c>
      <c r="M215" s="32">
        <f t="shared" si="81"/>
        <v>0.30347222222222225</v>
      </c>
      <c r="N215" s="23">
        <f>M215-$E$6</f>
        <v>1.1805555555555569E-2</v>
      </c>
      <c r="O215" s="33">
        <f t="shared" si="82"/>
        <v>1.736111111111116E-2</v>
      </c>
      <c r="P215" s="67">
        <f>P214+N215</f>
        <v>1.736111111111116E-2</v>
      </c>
      <c r="Q215" s="71"/>
      <c r="R215" s="71"/>
    </row>
    <row r="216" spans="2:18" x14ac:dyDescent="0.25">
      <c r="B216" s="139">
        <v>44034</v>
      </c>
      <c r="C216" s="47" t="s">
        <v>23</v>
      </c>
      <c r="D216" s="35">
        <v>0.3263888888888889</v>
      </c>
      <c r="E216" s="35">
        <v>0.44444444444444442</v>
      </c>
      <c r="F216" s="35">
        <v>0.4604166666666667</v>
      </c>
      <c r="G216" s="30">
        <f t="shared" si="79"/>
        <v>1.5972222222222276E-2</v>
      </c>
      <c r="H216" s="13">
        <f t="shared" ref="H216:H279" si="89">IF(G216&gt;$I$6,G216-$I$6)</f>
        <v>2.0833333333333884E-3</v>
      </c>
      <c r="I216" s="36"/>
      <c r="J216" s="36"/>
      <c r="K216" s="35">
        <f t="shared" si="80"/>
        <v>0</v>
      </c>
      <c r="L216" s="32">
        <v>0.62569444444444444</v>
      </c>
      <c r="M216" s="32">
        <f t="shared" si="81"/>
        <v>0.29722222222222217</v>
      </c>
      <c r="N216" s="23">
        <f>M216-$E$6</f>
        <v>5.5555555555554803E-3</v>
      </c>
      <c r="O216" s="33">
        <f t="shared" si="82"/>
        <v>2.2916666666666641E-2</v>
      </c>
      <c r="P216" s="67">
        <f>P215+N216</f>
        <v>2.2916666666666641E-2</v>
      </c>
      <c r="Q216" s="71"/>
      <c r="R216" s="71"/>
    </row>
    <row r="217" spans="2:18" x14ac:dyDescent="0.25">
      <c r="B217" s="139">
        <v>44035</v>
      </c>
      <c r="C217" s="47" t="s">
        <v>8</v>
      </c>
      <c r="D217" s="35">
        <v>0.33124999999999999</v>
      </c>
      <c r="E217" s="35">
        <v>0.4465277777777778</v>
      </c>
      <c r="F217" s="35">
        <v>0.46458333333333335</v>
      </c>
      <c r="G217" s="30">
        <f t="shared" si="79"/>
        <v>1.8055555555555547E-2</v>
      </c>
      <c r="H217" s="13">
        <f t="shared" si="89"/>
        <v>4.1666666666666588E-3</v>
      </c>
      <c r="I217" s="36"/>
      <c r="J217" s="36"/>
      <c r="K217" s="35">
        <f t="shared" si="80"/>
        <v>0</v>
      </c>
      <c r="L217" s="32">
        <v>0.62708333333333333</v>
      </c>
      <c r="M217" s="32">
        <f t="shared" si="81"/>
        <v>0.29166666666666669</v>
      </c>
      <c r="N217" s="23">
        <f>M217-$E$6</f>
        <v>0</v>
      </c>
      <c r="O217" s="33">
        <f t="shared" si="82"/>
        <v>2.2916666666666641E-2</v>
      </c>
      <c r="P217" s="67">
        <f>P216+N217</f>
        <v>2.2916666666666641E-2</v>
      </c>
      <c r="Q217" s="71"/>
      <c r="R217" s="71"/>
    </row>
    <row r="218" spans="2:18" x14ac:dyDescent="0.25">
      <c r="B218" s="139">
        <v>44036</v>
      </c>
      <c r="C218" s="47" t="s">
        <v>9</v>
      </c>
      <c r="D218" s="35">
        <v>0.33194444444444443</v>
      </c>
      <c r="E218" s="35">
        <v>0.44722222222222219</v>
      </c>
      <c r="F218" s="35">
        <v>0.46249999999999997</v>
      </c>
      <c r="G218" s="30">
        <f t="shared" si="79"/>
        <v>1.5277777777777779E-2</v>
      </c>
      <c r="H218" s="13">
        <f t="shared" si="89"/>
        <v>1.3888888888888909E-3</v>
      </c>
      <c r="I218" s="36"/>
      <c r="J218" s="36"/>
      <c r="K218" s="35">
        <f t="shared" si="80"/>
        <v>0</v>
      </c>
      <c r="L218" s="32">
        <v>0.62569444444444444</v>
      </c>
      <c r="M218" s="32">
        <f t="shared" si="81"/>
        <v>0.29236111111111113</v>
      </c>
      <c r="N218" s="23">
        <f>M218-$E$6</f>
        <v>6.9444444444444198E-4</v>
      </c>
      <c r="O218" s="33">
        <f t="shared" si="82"/>
        <v>2.3611111111111083E-2</v>
      </c>
      <c r="P218" s="67">
        <f>P217+N218</f>
        <v>2.3611111111111083E-2</v>
      </c>
      <c r="Q218" s="72">
        <f t="shared" ref="Q218" si="90">SUM(M214:M218)</f>
        <v>1.4819444444444445</v>
      </c>
      <c r="R218" s="72">
        <f t="shared" ref="R218" si="91">Q218/5</f>
        <v>0.29638888888888892</v>
      </c>
    </row>
    <row r="219" spans="2:18" x14ac:dyDescent="0.25">
      <c r="B219" s="139">
        <v>44037</v>
      </c>
      <c r="C219" s="48" t="s">
        <v>21</v>
      </c>
      <c r="D219" s="43"/>
      <c r="E219" s="43"/>
      <c r="F219" s="43"/>
      <c r="G219" s="34"/>
      <c r="H219" s="25"/>
      <c r="I219" s="28"/>
      <c r="J219" s="28"/>
      <c r="K219" s="43"/>
      <c r="L219" s="27"/>
      <c r="M219" s="27"/>
      <c r="N219" s="44"/>
      <c r="O219" s="26"/>
      <c r="P219" s="65"/>
      <c r="Q219" s="71"/>
      <c r="R219" s="71"/>
    </row>
    <row r="220" spans="2:18" x14ac:dyDescent="0.25">
      <c r="B220" s="139">
        <v>44038</v>
      </c>
      <c r="C220" s="48" t="s">
        <v>22</v>
      </c>
      <c r="D220" s="43"/>
      <c r="E220" s="43"/>
      <c r="F220" s="43"/>
      <c r="G220" s="34"/>
      <c r="H220" s="28"/>
      <c r="I220" s="28"/>
      <c r="J220" s="28"/>
      <c r="K220" s="43"/>
      <c r="L220" s="27"/>
      <c r="M220" s="27"/>
      <c r="N220" s="44"/>
      <c r="O220" s="26"/>
      <c r="P220" s="65"/>
      <c r="Q220" s="71"/>
      <c r="R220" s="71"/>
    </row>
    <row r="221" spans="2:18" x14ac:dyDescent="0.25">
      <c r="B221" s="139">
        <v>44039</v>
      </c>
      <c r="C221" s="47" t="s">
        <v>6</v>
      </c>
      <c r="D221" s="35">
        <v>0.3263888888888889</v>
      </c>
      <c r="E221" s="35">
        <v>0.44236111111111115</v>
      </c>
      <c r="F221" s="35">
        <v>0.45833333333333331</v>
      </c>
      <c r="G221" s="30">
        <f t="shared" ref="G221:G224" si="92">F221-E221</f>
        <v>1.5972222222222165E-2</v>
      </c>
      <c r="H221" s="13">
        <f t="shared" si="89"/>
        <v>2.0833333333332774E-3</v>
      </c>
      <c r="I221" s="36"/>
      <c r="J221" s="36"/>
      <c r="K221" s="35">
        <f t="shared" ref="K221:K224" si="93">J221-I221</f>
        <v>0</v>
      </c>
      <c r="L221" s="32">
        <v>0.62638888888888888</v>
      </c>
      <c r="M221" s="32">
        <f t="shared" ref="M221:M224" si="94">(L221-D221)-H221-K221</f>
        <v>0.29791666666666672</v>
      </c>
      <c r="N221" s="23">
        <f>M221-$E$6</f>
        <v>6.2500000000000333E-3</v>
      </c>
      <c r="O221" s="33">
        <f t="shared" ref="O221:O223" si="95">O220+N221</f>
        <v>6.2500000000000333E-3</v>
      </c>
      <c r="P221" s="67">
        <f>P220+N221</f>
        <v>6.2500000000000333E-3</v>
      </c>
      <c r="Q221" s="71"/>
      <c r="R221" s="71"/>
    </row>
    <row r="222" spans="2:18" x14ac:dyDescent="0.25">
      <c r="B222" s="139">
        <v>44040</v>
      </c>
      <c r="C222" s="47" t="s">
        <v>7</v>
      </c>
      <c r="D222" s="35">
        <v>0.31597222222222221</v>
      </c>
      <c r="E222" s="35">
        <v>0.4597222222222222</v>
      </c>
      <c r="F222" s="35">
        <v>0.47500000000000003</v>
      </c>
      <c r="G222" s="30">
        <f t="shared" si="92"/>
        <v>1.5277777777777835E-2</v>
      </c>
      <c r="H222" s="13">
        <f t="shared" si="89"/>
        <v>1.3888888888889464E-3</v>
      </c>
      <c r="I222" s="36"/>
      <c r="J222" s="36"/>
      <c r="K222" s="35">
        <f t="shared" si="93"/>
        <v>0</v>
      </c>
      <c r="L222" s="32">
        <v>0.62708333333333333</v>
      </c>
      <c r="M222" s="32">
        <f t="shared" si="94"/>
        <v>0.30972222222222218</v>
      </c>
      <c r="N222" s="23">
        <f>M222-$E$6</f>
        <v>1.8055555555555491E-2</v>
      </c>
      <c r="O222" s="33">
        <f t="shared" si="95"/>
        <v>2.4305555555555525E-2</v>
      </c>
      <c r="P222" s="67">
        <f>P221+N222</f>
        <v>2.4305555555555525E-2</v>
      </c>
      <c r="Q222" s="71"/>
      <c r="R222" s="71"/>
    </row>
    <row r="223" spans="2:18" x14ac:dyDescent="0.25">
      <c r="B223" s="139">
        <v>44041</v>
      </c>
      <c r="C223" s="47" t="s">
        <v>23</v>
      </c>
      <c r="D223" s="35">
        <v>0.32847222222222222</v>
      </c>
      <c r="E223" s="35">
        <v>0.44444444444444442</v>
      </c>
      <c r="F223" s="35">
        <v>0.46180555555555558</v>
      </c>
      <c r="G223" s="30">
        <f t="shared" si="92"/>
        <v>1.736111111111116E-2</v>
      </c>
      <c r="H223" s="13">
        <f t="shared" si="89"/>
        <v>3.4722222222222723E-3</v>
      </c>
      <c r="I223" s="36"/>
      <c r="J223" s="36"/>
      <c r="K223" s="35">
        <f t="shared" si="93"/>
        <v>0</v>
      </c>
      <c r="L223" s="32">
        <v>0.62638888888888888</v>
      </c>
      <c r="M223" s="32">
        <f t="shared" si="94"/>
        <v>0.2944444444444444</v>
      </c>
      <c r="N223" s="23">
        <f>M223-$E$6</f>
        <v>2.7777777777777124E-3</v>
      </c>
      <c r="O223" s="33">
        <f t="shared" si="95"/>
        <v>2.7083333333333237E-2</v>
      </c>
      <c r="P223" s="67">
        <f>P222+N223</f>
        <v>2.7083333333333237E-2</v>
      </c>
      <c r="Q223" s="71"/>
      <c r="R223" s="71"/>
    </row>
    <row r="224" spans="2:18" x14ac:dyDescent="0.25">
      <c r="B224" s="139">
        <v>44042</v>
      </c>
      <c r="C224" s="47" t="s">
        <v>8</v>
      </c>
      <c r="D224" s="35">
        <v>0.33680555555555558</v>
      </c>
      <c r="E224" s="35">
        <v>0.44166666666666665</v>
      </c>
      <c r="F224" s="35">
        <v>0.45902777777777781</v>
      </c>
      <c r="G224" s="30">
        <f t="shared" si="92"/>
        <v>1.736111111111116E-2</v>
      </c>
      <c r="H224" s="13">
        <f t="shared" si="89"/>
        <v>3.4722222222222723E-3</v>
      </c>
      <c r="I224" s="36"/>
      <c r="J224" s="36"/>
      <c r="K224" s="35">
        <f t="shared" si="93"/>
        <v>0</v>
      </c>
      <c r="L224" s="32">
        <v>0.62777777777777777</v>
      </c>
      <c r="M224" s="32">
        <f t="shared" si="94"/>
        <v>0.28749999999999992</v>
      </c>
      <c r="N224" s="23">
        <f>M224-$E$6</f>
        <v>-4.1666666666667629E-3</v>
      </c>
      <c r="O224" s="33">
        <f>O223+N224</f>
        <v>2.2916666666666474E-2</v>
      </c>
      <c r="P224" s="67">
        <f>P223+N224</f>
        <v>2.2916666666666474E-2</v>
      </c>
      <c r="Q224" s="71"/>
      <c r="R224" s="71"/>
    </row>
    <row r="225" spans="2:18" x14ac:dyDescent="0.25">
      <c r="B225" s="139">
        <v>44043</v>
      </c>
      <c r="C225" s="47" t="s">
        <v>9</v>
      </c>
      <c r="D225" s="35">
        <v>0.33611111111111108</v>
      </c>
      <c r="E225" s="35">
        <v>0.44166666666666665</v>
      </c>
      <c r="F225" s="35">
        <v>0.45833333333333331</v>
      </c>
      <c r="G225" s="30">
        <f t="shared" ref="G225:G253" si="96">F225-E225</f>
        <v>1.6666666666666663E-2</v>
      </c>
      <c r="H225" s="13">
        <f t="shared" si="89"/>
        <v>2.7777777777777748E-3</v>
      </c>
      <c r="I225" s="36"/>
      <c r="J225" s="36"/>
      <c r="K225" s="35">
        <f t="shared" ref="K225:K253" si="97">J225-I225</f>
        <v>0</v>
      </c>
      <c r="L225" s="32">
        <v>0.62708333333333333</v>
      </c>
      <c r="M225" s="32">
        <f t="shared" ref="M225:M253" si="98">(L225-D225)-H225-K225</f>
        <v>0.28819444444444448</v>
      </c>
      <c r="N225" s="23">
        <f>M225-$E$6</f>
        <v>-3.4722222222222099E-3</v>
      </c>
      <c r="O225" s="33">
        <f t="shared" ref="O225:O253" si="99">O224+N225</f>
        <v>1.9444444444444264E-2</v>
      </c>
      <c r="P225" s="67">
        <f>P224+N225</f>
        <v>1.9444444444444264E-2</v>
      </c>
      <c r="Q225" s="72">
        <f t="shared" ref="Q225" si="100">SUM(M221:M225)</f>
        <v>1.4777777777777776</v>
      </c>
      <c r="R225" s="72">
        <f t="shared" ref="R225" si="101">Q225/5</f>
        <v>0.29555555555555552</v>
      </c>
    </row>
    <row r="226" spans="2:18" x14ac:dyDescent="0.25">
      <c r="B226" s="139">
        <v>44044</v>
      </c>
      <c r="C226" s="48" t="s">
        <v>21</v>
      </c>
      <c r="D226" s="43"/>
      <c r="E226" s="43"/>
      <c r="F226" s="43"/>
      <c r="G226" s="34"/>
      <c r="H226" s="25"/>
      <c r="I226" s="28"/>
      <c r="J226" s="28"/>
      <c r="K226" s="43"/>
      <c r="L226" s="27"/>
      <c r="M226" s="27"/>
      <c r="N226" s="44"/>
      <c r="O226" s="26"/>
      <c r="P226" s="65"/>
      <c r="Q226" s="71"/>
      <c r="R226" s="71"/>
    </row>
    <row r="227" spans="2:18" x14ac:dyDescent="0.25">
      <c r="B227" s="139">
        <v>44045</v>
      </c>
      <c r="C227" s="48" t="s">
        <v>22</v>
      </c>
      <c r="D227" s="43"/>
      <c r="E227" s="43"/>
      <c r="F227" s="43"/>
      <c r="G227" s="34"/>
      <c r="H227" s="28"/>
      <c r="I227" s="28"/>
      <c r="J227" s="28"/>
      <c r="K227" s="43"/>
      <c r="L227" s="27"/>
      <c r="M227" s="27"/>
      <c r="N227" s="44"/>
      <c r="O227" s="26"/>
      <c r="P227" s="65"/>
      <c r="Q227" s="71"/>
      <c r="R227" s="71"/>
    </row>
    <row r="228" spans="2:18" x14ac:dyDescent="0.25">
      <c r="B228" s="139">
        <v>44046</v>
      </c>
      <c r="C228" s="47" t="s">
        <v>6</v>
      </c>
      <c r="D228" s="35">
        <v>0.33124999999999999</v>
      </c>
      <c r="E228" s="35">
        <v>0.44236111111111115</v>
      </c>
      <c r="F228" s="35">
        <v>0.45902777777777781</v>
      </c>
      <c r="G228" s="30">
        <f t="shared" si="96"/>
        <v>1.6666666666666663E-2</v>
      </c>
      <c r="H228" s="13">
        <f t="shared" si="89"/>
        <v>2.7777777777777748E-3</v>
      </c>
      <c r="I228" s="36"/>
      <c r="J228" s="36"/>
      <c r="K228" s="35">
        <f t="shared" si="97"/>
        <v>0</v>
      </c>
      <c r="L228" s="32">
        <v>0.62638888888888888</v>
      </c>
      <c r="M228" s="32">
        <f t="shared" si="98"/>
        <v>0.29236111111111113</v>
      </c>
      <c r="N228" s="23">
        <f>M228-$E$6</f>
        <v>6.9444444444444198E-4</v>
      </c>
      <c r="O228" s="33">
        <f t="shared" si="99"/>
        <v>6.9444444444444198E-4</v>
      </c>
      <c r="P228" s="67">
        <f>P227+N228</f>
        <v>6.9444444444444198E-4</v>
      </c>
      <c r="Q228" s="71"/>
      <c r="R228" s="71"/>
    </row>
    <row r="229" spans="2:18" x14ac:dyDescent="0.25">
      <c r="B229" s="139">
        <v>44047</v>
      </c>
      <c r="C229" s="47" t="s">
        <v>7</v>
      </c>
      <c r="D229" s="35">
        <v>0.32847222222222222</v>
      </c>
      <c r="E229" s="35">
        <v>0.43541666666666662</v>
      </c>
      <c r="F229" s="35">
        <v>0.45208333333333334</v>
      </c>
      <c r="G229" s="30">
        <f t="shared" si="96"/>
        <v>1.6666666666666718E-2</v>
      </c>
      <c r="H229" s="13">
        <f t="shared" si="89"/>
        <v>2.7777777777778304E-3</v>
      </c>
      <c r="I229" s="36"/>
      <c r="J229" s="36"/>
      <c r="K229" s="35">
        <f t="shared" si="97"/>
        <v>0</v>
      </c>
      <c r="L229" s="32">
        <v>0.62777777777777777</v>
      </c>
      <c r="M229" s="32">
        <f t="shared" si="98"/>
        <v>0.29652777777777772</v>
      </c>
      <c r="N229" s="23">
        <f>M229-$E$6</f>
        <v>4.8611111111110383E-3</v>
      </c>
      <c r="O229" s="33">
        <f t="shared" si="99"/>
        <v>5.5555555555554803E-3</v>
      </c>
      <c r="P229" s="67">
        <f>P228+N229</f>
        <v>5.5555555555554803E-3</v>
      </c>
      <c r="Q229" s="71"/>
      <c r="R229" s="71"/>
    </row>
    <row r="230" spans="2:18" x14ac:dyDescent="0.25">
      <c r="B230" s="139">
        <v>44048</v>
      </c>
      <c r="C230" s="47" t="s">
        <v>23</v>
      </c>
      <c r="D230" s="35"/>
      <c r="E230" s="35"/>
      <c r="F230" s="35"/>
      <c r="G230" s="30">
        <f t="shared" si="96"/>
        <v>0</v>
      </c>
      <c r="H230" s="13" t="b">
        <f t="shared" si="89"/>
        <v>0</v>
      </c>
      <c r="I230" s="36"/>
      <c r="J230" s="36"/>
      <c r="K230" s="35">
        <f t="shared" si="97"/>
        <v>0</v>
      </c>
      <c r="L230" s="32"/>
      <c r="M230" s="32">
        <v>0.29166666666666669</v>
      </c>
      <c r="N230" s="23">
        <f>M230-$E$6</f>
        <v>0</v>
      </c>
      <c r="O230" s="33">
        <f t="shared" si="99"/>
        <v>5.5555555555554803E-3</v>
      </c>
      <c r="P230" s="67">
        <f>P229+N230</f>
        <v>5.5555555555554803E-3</v>
      </c>
      <c r="Q230" s="71"/>
      <c r="R230" s="71"/>
    </row>
    <row r="231" spans="2:18" x14ac:dyDescent="0.25">
      <c r="B231" s="139">
        <v>44049</v>
      </c>
      <c r="C231" s="47" t="s">
        <v>8</v>
      </c>
      <c r="D231" s="35"/>
      <c r="E231" s="35"/>
      <c r="F231" s="35"/>
      <c r="G231" s="30">
        <f t="shared" si="96"/>
        <v>0</v>
      </c>
      <c r="H231" s="13" t="b">
        <f t="shared" si="89"/>
        <v>0</v>
      </c>
      <c r="I231" s="36"/>
      <c r="J231" s="36"/>
      <c r="K231" s="35">
        <f t="shared" si="97"/>
        <v>0</v>
      </c>
      <c r="L231" s="32"/>
      <c r="M231" s="32">
        <v>0.29166666666666669</v>
      </c>
      <c r="N231" s="23">
        <f>M231-$E$6</f>
        <v>0</v>
      </c>
      <c r="O231" s="33">
        <f t="shared" si="99"/>
        <v>5.5555555555554803E-3</v>
      </c>
      <c r="P231" s="67">
        <f>P230+N231</f>
        <v>5.5555555555554803E-3</v>
      </c>
      <c r="Q231" s="71"/>
      <c r="R231" s="71"/>
    </row>
    <row r="232" spans="2:18" x14ac:dyDescent="0.25">
      <c r="B232" s="139">
        <v>44050</v>
      </c>
      <c r="C232" s="47" t="s">
        <v>9</v>
      </c>
      <c r="D232" s="35"/>
      <c r="E232" s="35"/>
      <c r="F232" s="35"/>
      <c r="G232" s="30">
        <f t="shared" si="96"/>
        <v>0</v>
      </c>
      <c r="H232" s="13" t="b">
        <f t="shared" si="89"/>
        <v>0</v>
      </c>
      <c r="I232" s="36"/>
      <c r="J232" s="36"/>
      <c r="K232" s="35">
        <f t="shared" si="97"/>
        <v>0</v>
      </c>
      <c r="L232" s="32"/>
      <c r="M232" s="32">
        <v>0.29166666666666669</v>
      </c>
      <c r="N232" s="23">
        <f>M232-$E$6</f>
        <v>0</v>
      </c>
      <c r="O232" s="33">
        <f t="shared" si="99"/>
        <v>5.5555555555554803E-3</v>
      </c>
      <c r="P232" s="67">
        <f>P231+N232</f>
        <v>5.5555555555554803E-3</v>
      </c>
      <c r="Q232" s="72">
        <f t="shared" ref="Q232" si="102">SUM(M228:M232)</f>
        <v>1.463888888888889</v>
      </c>
      <c r="R232" s="72">
        <f t="shared" ref="R232" si="103">Q232/5</f>
        <v>0.2927777777777778</v>
      </c>
    </row>
    <row r="233" spans="2:18" x14ac:dyDescent="0.25">
      <c r="B233" s="139">
        <v>44051</v>
      </c>
      <c r="C233" s="48" t="s">
        <v>21</v>
      </c>
      <c r="D233" s="43"/>
      <c r="E233" s="43"/>
      <c r="F233" s="43"/>
      <c r="G233" s="34"/>
      <c r="H233" s="25"/>
      <c r="I233" s="28"/>
      <c r="J233" s="28"/>
      <c r="K233" s="43"/>
      <c r="L233" s="27"/>
      <c r="M233" s="27"/>
      <c r="N233" s="44"/>
      <c r="O233" s="26"/>
      <c r="P233" s="65"/>
      <c r="Q233" s="71"/>
      <c r="R233" s="71"/>
    </row>
    <row r="234" spans="2:18" x14ac:dyDescent="0.25">
      <c r="B234" s="139">
        <v>44052</v>
      </c>
      <c r="C234" s="48" t="s">
        <v>22</v>
      </c>
      <c r="D234" s="43"/>
      <c r="E234" s="43"/>
      <c r="F234" s="43"/>
      <c r="G234" s="34"/>
      <c r="H234" s="28"/>
      <c r="I234" s="28"/>
      <c r="J234" s="28"/>
      <c r="K234" s="43"/>
      <c r="L234" s="27"/>
      <c r="M234" s="27"/>
      <c r="N234" s="44"/>
      <c r="O234" s="26"/>
      <c r="P234" s="65"/>
      <c r="Q234" s="71"/>
      <c r="R234" s="71"/>
    </row>
    <row r="235" spans="2:18" x14ac:dyDescent="0.25">
      <c r="B235" s="139">
        <v>44053</v>
      </c>
      <c r="C235" s="47" t="s">
        <v>6</v>
      </c>
      <c r="D235" s="80"/>
      <c r="E235" s="80"/>
      <c r="F235" s="80"/>
      <c r="G235" s="81">
        <f t="shared" si="96"/>
        <v>0</v>
      </c>
      <c r="H235" s="13" t="b">
        <f t="shared" si="89"/>
        <v>0</v>
      </c>
      <c r="I235" s="82"/>
      <c r="J235" s="82"/>
      <c r="K235" s="80">
        <f t="shared" si="97"/>
        <v>0</v>
      </c>
      <c r="L235" s="83"/>
      <c r="M235" s="32">
        <v>0.29166666666666669</v>
      </c>
      <c r="N235" s="23">
        <f>M235-$E$6</f>
        <v>0</v>
      </c>
      <c r="O235" s="33">
        <f t="shared" si="99"/>
        <v>0</v>
      </c>
      <c r="P235" s="67">
        <f>P234+N235</f>
        <v>0</v>
      </c>
      <c r="Q235" s="71"/>
      <c r="R235" s="71"/>
    </row>
    <row r="236" spans="2:18" x14ac:dyDescent="0.25">
      <c r="B236" s="139">
        <v>44054</v>
      </c>
      <c r="C236" s="47" t="s">
        <v>7</v>
      </c>
      <c r="D236" s="80"/>
      <c r="E236" s="80"/>
      <c r="F236" s="80"/>
      <c r="G236" s="81">
        <f t="shared" si="96"/>
        <v>0</v>
      </c>
      <c r="H236" s="13" t="b">
        <f t="shared" si="89"/>
        <v>0</v>
      </c>
      <c r="I236" s="82"/>
      <c r="J236" s="82"/>
      <c r="K236" s="80">
        <f t="shared" si="97"/>
        <v>0</v>
      </c>
      <c r="L236" s="83"/>
      <c r="M236" s="32">
        <v>0.29166666666666669</v>
      </c>
      <c r="N236" s="23">
        <f>M236-$E$6</f>
        <v>0</v>
      </c>
      <c r="O236" s="33">
        <f t="shared" si="99"/>
        <v>0</v>
      </c>
      <c r="P236" s="67">
        <f>P235+N236</f>
        <v>0</v>
      </c>
      <c r="Q236" s="71"/>
      <c r="R236" s="71"/>
    </row>
    <row r="237" spans="2:18" x14ac:dyDescent="0.25">
      <c r="B237" s="139">
        <v>44055</v>
      </c>
      <c r="C237" s="47" t="s">
        <v>23</v>
      </c>
      <c r="D237" s="80"/>
      <c r="E237" s="80"/>
      <c r="F237" s="80"/>
      <c r="G237" s="81">
        <f t="shared" si="96"/>
        <v>0</v>
      </c>
      <c r="H237" s="13" t="b">
        <f t="shared" si="89"/>
        <v>0</v>
      </c>
      <c r="I237" s="82"/>
      <c r="J237" s="82"/>
      <c r="K237" s="80">
        <f t="shared" si="97"/>
        <v>0</v>
      </c>
      <c r="L237" s="83"/>
      <c r="M237" s="32">
        <v>0.29166666666666669</v>
      </c>
      <c r="N237" s="23">
        <f>M237-$E$6</f>
        <v>0</v>
      </c>
      <c r="O237" s="33">
        <f t="shared" si="99"/>
        <v>0</v>
      </c>
      <c r="P237" s="67">
        <f>P236+N237</f>
        <v>0</v>
      </c>
      <c r="Q237" s="71"/>
      <c r="R237" s="71"/>
    </row>
    <row r="238" spans="2:18" x14ac:dyDescent="0.25">
      <c r="B238" s="139">
        <v>44056</v>
      </c>
      <c r="C238" s="47" t="s">
        <v>8</v>
      </c>
      <c r="D238" s="80"/>
      <c r="E238" s="80"/>
      <c r="F238" s="80"/>
      <c r="G238" s="81">
        <f t="shared" si="96"/>
        <v>0</v>
      </c>
      <c r="H238" s="13" t="b">
        <f t="shared" si="89"/>
        <v>0</v>
      </c>
      <c r="I238" s="82"/>
      <c r="J238" s="82"/>
      <c r="K238" s="80">
        <f t="shared" si="97"/>
        <v>0</v>
      </c>
      <c r="L238" s="83"/>
      <c r="M238" s="32">
        <v>0.29166666666666669</v>
      </c>
      <c r="N238" s="23">
        <f>M238-$E$6</f>
        <v>0</v>
      </c>
      <c r="O238" s="33">
        <f t="shared" si="99"/>
        <v>0</v>
      </c>
      <c r="P238" s="67">
        <f>P237+N238</f>
        <v>0</v>
      </c>
      <c r="Q238" s="71"/>
      <c r="R238" s="71"/>
    </row>
    <row r="239" spans="2:18" x14ac:dyDescent="0.25">
      <c r="B239" s="139">
        <v>44057</v>
      </c>
      <c r="C239" s="47" t="s">
        <v>9</v>
      </c>
      <c r="D239" s="80"/>
      <c r="E239" s="80"/>
      <c r="F239" s="80"/>
      <c r="G239" s="81">
        <f t="shared" si="96"/>
        <v>0</v>
      </c>
      <c r="H239" s="13" t="b">
        <f t="shared" si="89"/>
        <v>0</v>
      </c>
      <c r="I239" s="82"/>
      <c r="J239" s="82"/>
      <c r="K239" s="80">
        <f t="shared" si="97"/>
        <v>0</v>
      </c>
      <c r="L239" s="83"/>
      <c r="M239" s="32">
        <v>0.29166666666666669</v>
      </c>
      <c r="N239" s="23">
        <f>M239-$E$6</f>
        <v>0</v>
      </c>
      <c r="O239" s="33">
        <f t="shared" si="99"/>
        <v>0</v>
      </c>
      <c r="P239" s="67">
        <f>P238+N239</f>
        <v>0</v>
      </c>
      <c r="Q239" s="72">
        <f t="shared" ref="Q239" si="104">SUM(M235:M239)</f>
        <v>1.4583333333333335</v>
      </c>
      <c r="R239" s="72">
        <f t="shared" ref="R239" si="105">Q239/5</f>
        <v>0.29166666666666669</v>
      </c>
    </row>
    <row r="240" spans="2:18" x14ac:dyDescent="0.25">
      <c r="B240" s="139">
        <v>44058</v>
      </c>
      <c r="C240" s="48" t="s">
        <v>21</v>
      </c>
      <c r="D240" s="43"/>
      <c r="E240" s="43"/>
      <c r="F240" s="43"/>
      <c r="G240" s="34"/>
      <c r="H240" s="25"/>
      <c r="I240" s="28"/>
      <c r="J240" s="28"/>
      <c r="K240" s="43"/>
      <c r="L240" s="27"/>
      <c r="M240" s="27"/>
      <c r="N240" s="44"/>
      <c r="O240" s="26"/>
      <c r="P240" s="65"/>
      <c r="Q240" s="71"/>
      <c r="R240" s="71"/>
    </row>
    <row r="241" spans="2:18" x14ac:dyDescent="0.25">
      <c r="B241" s="139">
        <v>44059</v>
      </c>
      <c r="C241" s="48" t="s">
        <v>22</v>
      </c>
      <c r="D241" s="43"/>
      <c r="E241" s="43"/>
      <c r="F241" s="43"/>
      <c r="G241" s="34"/>
      <c r="H241" s="28"/>
      <c r="I241" s="28"/>
      <c r="J241" s="28"/>
      <c r="K241" s="43"/>
      <c r="L241" s="27"/>
      <c r="M241" s="27"/>
      <c r="N241" s="44"/>
      <c r="O241" s="26"/>
      <c r="P241" s="65"/>
      <c r="Q241" s="71"/>
      <c r="R241" s="71"/>
    </row>
    <row r="242" spans="2:18" x14ac:dyDescent="0.25">
      <c r="B242" s="139">
        <v>44060</v>
      </c>
      <c r="C242" s="47" t="s">
        <v>6</v>
      </c>
      <c r="D242" s="35"/>
      <c r="E242" s="35"/>
      <c r="F242" s="35"/>
      <c r="G242" s="30">
        <f t="shared" si="96"/>
        <v>0</v>
      </c>
      <c r="H242" s="13" t="b">
        <f t="shared" si="89"/>
        <v>0</v>
      </c>
      <c r="I242" s="36"/>
      <c r="J242" s="36"/>
      <c r="K242" s="35">
        <f t="shared" si="97"/>
        <v>0</v>
      </c>
      <c r="L242" s="32"/>
      <c r="M242" s="32">
        <v>0.29166666666666669</v>
      </c>
      <c r="N242" s="23">
        <f>M242-$E$6</f>
        <v>0</v>
      </c>
      <c r="O242" s="33">
        <f t="shared" si="99"/>
        <v>0</v>
      </c>
      <c r="P242" s="67">
        <f>P241+N242</f>
        <v>0</v>
      </c>
      <c r="Q242" s="71"/>
      <c r="R242" s="71"/>
    </row>
    <row r="243" spans="2:18" x14ac:dyDescent="0.25">
      <c r="B243" s="139">
        <v>44061</v>
      </c>
      <c r="C243" s="47" t="s">
        <v>7</v>
      </c>
      <c r="D243" s="35"/>
      <c r="E243" s="35"/>
      <c r="F243" s="35"/>
      <c r="G243" s="30">
        <f t="shared" si="96"/>
        <v>0</v>
      </c>
      <c r="H243" s="13" t="b">
        <f t="shared" si="89"/>
        <v>0</v>
      </c>
      <c r="I243" s="36"/>
      <c r="J243" s="36"/>
      <c r="K243" s="35">
        <f t="shared" si="97"/>
        <v>0</v>
      </c>
      <c r="L243" s="32"/>
      <c r="M243" s="32">
        <v>0.29166666666666669</v>
      </c>
      <c r="N243" s="23">
        <f>M243-$E$6</f>
        <v>0</v>
      </c>
      <c r="O243" s="33">
        <f t="shared" si="99"/>
        <v>0</v>
      </c>
      <c r="P243" s="67">
        <f>P242+N243</f>
        <v>0</v>
      </c>
      <c r="Q243" s="71"/>
      <c r="R243" s="71"/>
    </row>
    <row r="244" spans="2:18" x14ac:dyDescent="0.25">
      <c r="B244" s="139">
        <v>44062</v>
      </c>
      <c r="C244" s="47" t="s">
        <v>23</v>
      </c>
      <c r="D244" s="35"/>
      <c r="E244" s="35"/>
      <c r="F244" s="35"/>
      <c r="G244" s="30">
        <f t="shared" si="96"/>
        <v>0</v>
      </c>
      <c r="H244" s="13" t="b">
        <f t="shared" si="89"/>
        <v>0</v>
      </c>
      <c r="I244" s="36"/>
      <c r="J244" s="36"/>
      <c r="K244" s="35">
        <f t="shared" si="97"/>
        <v>0</v>
      </c>
      <c r="L244" s="32"/>
      <c r="M244" s="32">
        <v>0.29166666666666669</v>
      </c>
      <c r="N244" s="23">
        <f>M244-$E$6</f>
        <v>0</v>
      </c>
      <c r="O244" s="33">
        <f t="shared" si="99"/>
        <v>0</v>
      </c>
      <c r="P244" s="67">
        <f>P243+N244</f>
        <v>0</v>
      </c>
      <c r="Q244" s="71"/>
      <c r="R244" s="71"/>
    </row>
    <row r="245" spans="2:18" x14ac:dyDescent="0.25">
      <c r="B245" s="139">
        <v>44063</v>
      </c>
      <c r="C245" s="47" t="s">
        <v>8</v>
      </c>
      <c r="D245" s="35"/>
      <c r="E245" s="35"/>
      <c r="F245" s="35"/>
      <c r="G245" s="30">
        <f t="shared" si="96"/>
        <v>0</v>
      </c>
      <c r="H245" s="13" t="b">
        <f t="shared" si="89"/>
        <v>0</v>
      </c>
      <c r="I245" s="36"/>
      <c r="J245" s="36"/>
      <c r="K245" s="35">
        <f t="shared" si="97"/>
        <v>0</v>
      </c>
      <c r="L245" s="32"/>
      <c r="M245" s="32">
        <v>0.29166666666666669</v>
      </c>
      <c r="N245" s="23">
        <f>M245-$E$6</f>
        <v>0</v>
      </c>
      <c r="O245" s="33">
        <f t="shared" si="99"/>
        <v>0</v>
      </c>
      <c r="P245" s="67">
        <f>P244+N245</f>
        <v>0</v>
      </c>
      <c r="Q245" s="71"/>
      <c r="R245" s="71"/>
    </row>
    <row r="246" spans="2:18" x14ac:dyDescent="0.25">
      <c r="B246" s="139">
        <v>44064</v>
      </c>
      <c r="C246" s="47" t="s">
        <v>9</v>
      </c>
      <c r="D246" s="35"/>
      <c r="E246" s="35"/>
      <c r="F246" s="35"/>
      <c r="G246" s="30">
        <f t="shared" si="96"/>
        <v>0</v>
      </c>
      <c r="H246" s="13" t="b">
        <f t="shared" si="89"/>
        <v>0</v>
      </c>
      <c r="I246" s="36"/>
      <c r="J246" s="36"/>
      <c r="K246" s="35">
        <f t="shared" si="97"/>
        <v>0</v>
      </c>
      <c r="L246" s="32"/>
      <c r="M246" s="32">
        <v>0.29166666666666669</v>
      </c>
      <c r="N246" s="23">
        <f>M246-$E$6</f>
        <v>0</v>
      </c>
      <c r="O246" s="33">
        <f t="shared" si="99"/>
        <v>0</v>
      </c>
      <c r="P246" s="67">
        <f>P245+N246</f>
        <v>0</v>
      </c>
      <c r="Q246" s="72">
        <f t="shared" ref="Q246" si="106">SUM(M242:M246)</f>
        <v>1.4583333333333335</v>
      </c>
      <c r="R246" s="72">
        <f t="shared" ref="R246" si="107">Q246/5</f>
        <v>0.29166666666666669</v>
      </c>
    </row>
    <row r="247" spans="2:18" x14ac:dyDescent="0.25">
      <c r="B247" s="139">
        <v>44065</v>
      </c>
      <c r="C247" s="48" t="s">
        <v>21</v>
      </c>
      <c r="D247" s="43"/>
      <c r="E247" s="43"/>
      <c r="F247" s="43"/>
      <c r="G247" s="34"/>
      <c r="H247" s="25"/>
      <c r="I247" s="28"/>
      <c r="J247" s="28"/>
      <c r="K247" s="43"/>
      <c r="L247" s="27"/>
      <c r="M247" s="27"/>
      <c r="N247" s="44"/>
      <c r="O247" s="26"/>
      <c r="P247" s="65"/>
      <c r="Q247" s="71"/>
      <c r="R247" s="71"/>
    </row>
    <row r="248" spans="2:18" x14ac:dyDescent="0.25">
      <c r="B248" s="139">
        <v>44066</v>
      </c>
      <c r="C248" s="48" t="s">
        <v>22</v>
      </c>
      <c r="D248" s="43"/>
      <c r="E248" s="43"/>
      <c r="F248" s="43"/>
      <c r="G248" s="34"/>
      <c r="H248" s="28"/>
      <c r="I248" s="28"/>
      <c r="J248" s="28"/>
      <c r="K248" s="43"/>
      <c r="L248" s="27"/>
      <c r="M248" s="27"/>
      <c r="N248" s="44"/>
      <c r="O248" s="26"/>
      <c r="P248" s="65"/>
      <c r="Q248" s="71"/>
      <c r="R248" s="71"/>
    </row>
    <row r="249" spans="2:18" x14ac:dyDescent="0.25">
      <c r="B249" s="139">
        <v>44067</v>
      </c>
      <c r="C249" s="47" t="s">
        <v>6</v>
      </c>
      <c r="D249" s="35">
        <v>0.32291666666666669</v>
      </c>
      <c r="E249" s="35">
        <v>0.43333333333333335</v>
      </c>
      <c r="F249" s="35">
        <v>0.4597222222222222</v>
      </c>
      <c r="G249" s="30">
        <f t="shared" si="96"/>
        <v>2.6388888888888851E-2</v>
      </c>
      <c r="H249" s="13">
        <f t="shared" si="89"/>
        <v>1.2499999999999963E-2</v>
      </c>
      <c r="I249" s="36"/>
      <c r="J249" s="36"/>
      <c r="K249" s="35">
        <f t="shared" si="97"/>
        <v>0</v>
      </c>
      <c r="L249" s="32">
        <v>0.62847222222222221</v>
      </c>
      <c r="M249" s="32">
        <f t="shared" si="98"/>
        <v>0.29305555555555557</v>
      </c>
      <c r="N249" s="23">
        <f>M249-$E$6</f>
        <v>1.388888888888884E-3</v>
      </c>
      <c r="O249" s="33">
        <f t="shared" si="99"/>
        <v>1.388888888888884E-3</v>
      </c>
      <c r="P249" s="67">
        <f>P248+N249</f>
        <v>1.388888888888884E-3</v>
      </c>
      <c r="Q249" s="71"/>
      <c r="R249" s="71"/>
    </row>
    <row r="250" spans="2:18" x14ac:dyDescent="0.25">
      <c r="B250" s="139">
        <v>44068</v>
      </c>
      <c r="C250" s="47" t="s">
        <v>7</v>
      </c>
      <c r="D250" s="35">
        <v>0.32361111111111113</v>
      </c>
      <c r="E250" s="35">
        <v>0.43611111111111112</v>
      </c>
      <c r="F250" s="35">
        <v>0.45208333333333334</v>
      </c>
      <c r="G250" s="30">
        <f t="shared" si="96"/>
        <v>1.5972222222222221E-2</v>
      </c>
      <c r="H250" s="13">
        <f t="shared" si="89"/>
        <v>2.0833333333333329E-3</v>
      </c>
      <c r="I250" s="36"/>
      <c r="J250" s="36"/>
      <c r="K250" s="35">
        <f t="shared" si="97"/>
        <v>0</v>
      </c>
      <c r="L250" s="32">
        <v>0.62708333333333333</v>
      </c>
      <c r="M250" s="32">
        <f t="shared" si="98"/>
        <v>0.30138888888888887</v>
      </c>
      <c r="N250" s="23">
        <f>M250-$E$6</f>
        <v>9.7222222222221877E-3</v>
      </c>
      <c r="O250" s="33">
        <f t="shared" si="99"/>
        <v>1.1111111111111072E-2</v>
      </c>
      <c r="P250" s="67">
        <f>P249+N250</f>
        <v>1.1111111111111072E-2</v>
      </c>
      <c r="Q250" s="71"/>
      <c r="R250" s="71"/>
    </row>
    <row r="251" spans="2:18" x14ac:dyDescent="0.25">
      <c r="B251" s="139">
        <v>44069</v>
      </c>
      <c r="C251" s="47" t="s">
        <v>23</v>
      </c>
      <c r="D251" s="35">
        <v>0.3125</v>
      </c>
      <c r="E251" s="35"/>
      <c r="F251" s="35"/>
      <c r="G251" s="30">
        <f t="shared" si="96"/>
        <v>0</v>
      </c>
      <c r="H251" s="13" t="b">
        <f t="shared" si="89"/>
        <v>0</v>
      </c>
      <c r="I251" s="36"/>
      <c r="J251" s="36"/>
      <c r="K251" s="35">
        <f t="shared" si="97"/>
        <v>0</v>
      </c>
      <c r="L251" s="32">
        <v>0.62708333333333333</v>
      </c>
      <c r="M251" s="32">
        <f t="shared" si="98"/>
        <v>0.31458333333333333</v>
      </c>
      <c r="N251" s="23">
        <f>M251-$E$6</f>
        <v>2.2916666666666641E-2</v>
      </c>
      <c r="O251" s="33">
        <f t="shared" si="99"/>
        <v>3.4027777777777712E-2</v>
      </c>
      <c r="P251" s="67">
        <f>P250+N251</f>
        <v>3.4027777777777712E-2</v>
      </c>
      <c r="Q251" s="71"/>
      <c r="R251" s="71"/>
    </row>
    <row r="252" spans="2:18" x14ac:dyDescent="0.25">
      <c r="B252" s="139">
        <v>44070</v>
      </c>
      <c r="C252" s="47" t="s">
        <v>8</v>
      </c>
      <c r="D252" s="35">
        <v>0.33055555555555555</v>
      </c>
      <c r="E252" s="35">
        <v>0.43611111111111112</v>
      </c>
      <c r="F252" s="35">
        <v>0.4548611111111111</v>
      </c>
      <c r="G252" s="30">
        <f t="shared" si="96"/>
        <v>1.8749999999999989E-2</v>
      </c>
      <c r="H252" s="13">
        <f t="shared" si="89"/>
        <v>4.8611111111111008E-3</v>
      </c>
      <c r="I252" s="36"/>
      <c r="J252" s="36"/>
      <c r="K252" s="35">
        <f t="shared" si="97"/>
        <v>0</v>
      </c>
      <c r="L252" s="32">
        <v>0.62777777777777777</v>
      </c>
      <c r="M252" s="32">
        <f t="shared" si="98"/>
        <v>0.29236111111111113</v>
      </c>
      <c r="N252" s="23">
        <f>M252-$E$6</f>
        <v>6.9444444444444198E-4</v>
      </c>
      <c r="O252" s="33">
        <f t="shared" si="99"/>
        <v>3.4722222222222154E-2</v>
      </c>
      <c r="P252" s="67">
        <f>P251+N252</f>
        <v>3.4722222222222154E-2</v>
      </c>
      <c r="Q252" s="71"/>
      <c r="R252" s="71"/>
    </row>
    <row r="253" spans="2:18" x14ac:dyDescent="0.25">
      <c r="B253" s="139">
        <v>44071</v>
      </c>
      <c r="C253" s="47" t="s">
        <v>9</v>
      </c>
      <c r="D253" s="35">
        <v>0.32777777777777778</v>
      </c>
      <c r="E253" s="35">
        <v>0.43958333333333338</v>
      </c>
      <c r="F253" s="35">
        <v>0.46111111111111108</v>
      </c>
      <c r="G253" s="30">
        <f t="shared" si="96"/>
        <v>2.1527777777777701E-2</v>
      </c>
      <c r="H253" s="13">
        <f t="shared" si="89"/>
        <v>7.6388888888888132E-3</v>
      </c>
      <c r="I253" s="36"/>
      <c r="J253" s="36"/>
      <c r="K253" s="35">
        <f t="shared" si="97"/>
        <v>0</v>
      </c>
      <c r="L253" s="32">
        <v>0.62569444444444444</v>
      </c>
      <c r="M253" s="32">
        <f t="shared" si="98"/>
        <v>0.29027777777777786</v>
      </c>
      <c r="N253" s="23">
        <f>M253-$E$6</f>
        <v>-1.3888888888888284E-3</v>
      </c>
      <c r="O253" s="33">
        <f t="shared" si="99"/>
        <v>3.3333333333333326E-2</v>
      </c>
      <c r="P253" s="67">
        <f>P252+N253</f>
        <v>3.3333333333333326E-2</v>
      </c>
      <c r="Q253" s="72">
        <f t="shared" ref="Q253" si="108">SUM(M249:M253)</f>
        <v>1.4916666666666667</v>
      </c>
      <c r="R253" s="72">
        <f t="shared" ref="R253" si="109">Q253/5</f>
        <v>0.29833333333333334</v>
      </c>
    </row>
    <row r="254" spans="2:18" x14ac:dyDescent="0.25">
      <c r="B254" s="139">
        <v>44072</v>
      </c>
      <c r="C254" s="48" t="s">
        <v>21</v>
      </c>
      <c r="D254" s="43"/>
      <c r="E254" s="43"/>
      <c r="F254" s="43"/>
      <c r="G254" s="34"/>
      <c r="H254" s="25"/>
      <c r="I254" s="28"/>
      <c r="J254" s="28"/>
      <c r="K254" s="43"/>
      <c r="L254" s="27"/>
      <c r="M254" s="27"/>
      <c r="N254" s="44"/>
      <c r="O254" s="26"/>
      <c r="P254" s="65"/>
      <c r="Q254" s="71"/>
      <c r="R254" s="71"/>
    </row>
    <row r="255" spans="2:18" x14ac:dyDescent="0.25">
      <c r="B255" s="139">
        <v>44073</v>
      </c>
      <c r="C255" s="48" t="s">
        <v>22</v>
      </c>
      <c r="D255" s="43"/>
      <c r="E255" s="43"/>
      <c r="F255" s="43"/>
      <c r="G255" s="34"/>
      <c r="H255" s="28"/>
      <c r="I255" s="28"/>
      <c r="J255" s="28"/>
      <c r="K255" s="43"/>
      <c r="L255" s="27"/>
      <c r="M255" s="27"/>
      <c r="N255" s="44"/>
      <c r="O255" s="26"/>
      <c r="P255" s="65"/>
      <c r="Q255" s="71"/>
      <c r="R255" s="71"/>
    </row>
    <row r="256" spans="2:18" x14ac:dyDescent="0.25">
      <c r="B256" s="139">
        <v>44074</v>
      </c>
      <c r="C256" s="47" t="s">
        <v>6</v>
      </c>
      <c r="D256" s="35">
        <v>0.3215277777777778</v>
      </c>
      <c r="E256" s="35">
        <v>0.4368055555555555</v>
      </c>
      <c r="F256" s="35">
        <v>0.45555555555555555</v>
      </c>
      <c r="G256" s="30">
        <f t="shared" ref="G256:G285" si="110">F256-E256</f>
        <v>1.8750000000000044E-2</v>
      </c>
      <c r="H256" s="13">
        <f t="shared" si="89"/>
        <v>4.8611111111111563E-3</v>
      </c>
      <c r="I256" s="36"/>
      <c r="J256" s="36"/>
      <c r="K256" s="35">
        <f t="shared" ref="K256:K285" si="111">J256-I256</f>
        <v>0</v>
      </c>
      <c r="L256" s="32">
        <v>0.62638888888888888</v>
      </c>
      <c r="M256" s="32">
        <f t="shared" ref="M256:M281" si="112">(L256-D256)-H256-K256</f>
        <v>0.29999999999999993</v>
      </c>
      <c r="N256" s="23">
        <f>M256-$E$6</f>
        <v>8.3333333333332482E-3</v>
      </c>
      <c r="O256" s="33">
        <f t="shared" ref="O256:O284" si="113">O255+N256</f>
        <v>8.3333333333332482E-3</v>
      </c>
      <c r="P256" s="67">
        <f>P255+N256</f>
        <v>8.3333333333332482E-3</v>
      </c>
      <c r="Q256" s="71"/>
      <c r="R256" s="71"/>
    </row>
    <row r="257" spans="2:18" x14ac:dyDescent="0.25">
      <c r="B257" s="139">
        <v>44075</v>
      </c>
      <c r="C257" s="47" t="s">
        <v>7</v>
      </c>
      <c r="D257" s="35">
        <v>0.3298611111111111</v>
      </c>
      <c r="E257" s="35">
        <v>0.43333333333333335</v>
      </c>
      <c r="F257" s="35">
        <v>0.45277777777777778</v>
      </c>
      <c r="G257" s="30">
        <f t="shared" si="110"/>
        <v>1.9444444444444431E-2</v>
      </c>
      <c r="H257" s="13">
        <f t="shared" si="89"/>
        <v>5.5555555555555428E-3</v>
      </c>
      <c r="I257" s="36"/>
      <c r="J257" s="36"/>
      <c r="K257" s="35">
        <f t="shared" si="111"/>
        <v>0</v>
      </c>
      <c r="L257" s="32">
        <v>0.62708333333333333</v>
      </c>
      <c r="M257" s="32">
        <f t="shared" si="112"/>
        <v>0.29166666666666669</v>
      </c>
      <c r="N257" s="23">
        <f>M257-$E$6</f>
        <v>0</v>
      </c>
      <c r="O257" s="33">
        <f t="shared" si="113"/>
        <v>8.3333333333332482E-3</v>
      </c>
      <c r="P257" s="67">
        <f>P256+N257</f>
        <v>8.3333333333332482E-3</v>
      </c>
      <c r="Q257" s="71"/>
      <c r="R257" s="71"/>
    </row>
    <row r="258" spans="2:18" x14ac:dyDescent="0.25">
      <c r="B258" s="139">
        <v>44076</v>
      </c>
      <c r="C258" s="47" t="s">
        <v>23</v>
      </c>
      <c r="D258" s="35">
        <v>0.33333333333333331</v>
      </c>
      <c r="E258" s="35">
        <v>0.44236111111111115</v>
      </c>
      <c r="F258" s="35">
        <v>0.45902777777777781</v>
      </c>
      <c r="G258" s="30">
        <f t="shared" si="110"/>
        <v>1.6666666666666663E-2</v>
      </c>
      <c r="H258" s="13">
        <f t="shared" si="89"/>
        <v>2.7777777777777748E-3</v>
      </c>
      <c r="I258" s="36"/>
      <c r="J258" s="36"/>
      <c r="K258" s="35">
        <f t="shared" si="111"/>
        <v>0</v>
      </c>
      <c r="L258" s="32">
        <v>0.62708333333333333</v>
      </c>
      <c r="M258" s="32">
        <f t="shared" si="112"/>
        <v>0.29097222222222224</v>
      </c>
      <c r="N258" s="23">
        <f>M258-$E$6</f>
        <v>-6.9444444444444198E-4</v>
      </c>
      <c r="O258" s="33">
        <f t="shared" si="113"/>
        <v>7.6388888888888062E-3</v>
      </c>
      <c r="P258" s="67">
        <f>P257+N258</f>
        <v>7.6388888888888062E-3</v>
      </c>
      <c r="Q258" s="71"/>
      <c r="R258" s="71"/>
    </row>
    <row r="259" spans="2:18" x14ac:dyDescent="0.25">
      <c r="B259" s="139">
        <v>44077</v>
      </c>
      <c r="C259" s="47" t="s">
        <v>8</v>
      </c>
      <c r="D259" s="35">
        <v>0.32708333333333334</v>
      </c>
      <c r="E259" s="35"/>
      <c r="F259" s="35"/>
      <c r="G259" s="30">
        <f t="shared" si="110"/>
        <v>0</v>
      </c>
      <c r="H259" s="13" t="b">
        <f t="shared" si="89"/>
        <v>0</v>
      </c>
      <c r="I259" s="36"/>
      <c r="J259" s="36"/>
      <c r="K259" s="35">
        <f t="shared" si="111"/>
        <v>0</v>
      </c>
      <c r="L259" s="32">
        <v>0.62708333333333333</v>
      </c>
      <c r="M259" s="32">
        <f t="shared" si="112"/>
        <v>0.3</v>
      </c>
      <c r="N259" s="23">
        <f>M259-$E$6</f>
        <v>8.3333333333333037E-3</v>
      </c>
      <c r="O259" s="33">
        <f t="shared" si="113"/>
        <v>1.597222222222211E-2</v>
      </c>
      <c r="P259" s="67">
        <f>P258+N259</f>
        <v>1.597222222222211E-2</v>
      </c>
      <c r="Q259" s="71"/>
      <c r="R259" s="71"/>
    </row>
    <row r="260" spans="2:18" x14ac:dyDescent="0.25">
      <c r="B260" s="139">
        <v>44078</v>
      </c>
      <c r="C260" s="47" t="s">
        <v>9</v>
      </c>
      <c r="D260" s="35">
        <v>0.3215277777777778</v>
      </c>
      <c r="E260" s="35">
        <v>0.43124999999999997</v>
      </c>
      <c r="F260" s="35">
        <v>0.44791666666666669</v>
      </c>
      <c r="G260" s="30">
        <f t="shared" si="110"/>
        <v>1.6666666666666718E-2</v>
      </c>
      <c r="H260" s="13">
        <f t="shared" si="89"/>
        <v>2.7777777777778304E-3</v>
      </c>
      <c r="I260" s="36"/>
      <c r="J260" s="36"/>
      <c r="K260" s="35">
        <f t="shared" si="111"/>
        <v>0</v>
      </c>
      <c r="L260" s="32">
        <v>0.62708333333333333</v>
      </c>
      <c r="M260" s="32">
        <f t="shared" si="112"/>
        <v>0.3027777777777777</v>
      </c>
      <c r="N260" s="23">
        <f>M260-$E$6</f>
        <v>1.1111111111111016E-2</v>
      </c>
      <c r="O260" s="33">
        <f t="shared" si="113"/>
        <v>2.7083333333333126E-2</v>
      </c>
      <c r="P260" s="67">
        <f>P259+N260</f>
        <v>2.7083333333333126E-2</v>
      </c>
      <c r="Q260" s="72">
        <f t="shared" ref="Q260" si="114">SUM(M256:M260)</f>
        <v>1.4854166666666666</v>
      </c>
      <c r="R260" s="72">
        <f t="shared" ref="R260" si="115">Q260/5</f>
        <v>0.29708333333333331</v>
      </c>
    </row>
    <row r="261" spans="2:18" x14ac:dyDescent="0.25">
      <c r="B261" s="139">
        <v>44079</v>
      </c>
      <c r="C261" s="48" t="s">
        <v>21</v>
      </c>
      <c r="D261" s="43"/>
      <c r="E261" s="43"/>
      <c r="F261" s="43"/>
      <c r="G261" s="34"/>
      <c r="H261" s="25"/>
      <c r="I261" s="28"/>
      <c r="J261" s="28"/>
      <c r="K261" s="43"/>
      <c r="L261" s="27"/>
      <c r="M261" s="27"/>
      <c r="N261" s="44"/>
      <c r="O261" s="26"/>
      <c r="P261" s="65"/>
      <c r="Q261" s="71"/>
      <c r="R261" s="71"/>
    </row>
    <row r="262" spans="2:18" x14ac:dyDescent="0.25">
      <c r="B262" s="139">
        <v>44080</v>
      </c>
      <c r="C262" s="48" t="s">
        <v>22</v>
      </c>
      <c r="D262" s="43"/>
      <c r="E262" s="43"/>
      <c r="F262" s="43"/>
      <c r="G262" s="34"/>
      <c r="H262" s="28"/>
      <c r="I262" s="28"/>
      <c r="J262" s="28"/>
      <c r="K262" s="43"/>
      <c r="L262" s="27"/>
      <c r="M262" s="27"/>
      <c r="N262" s="44"/>
      <c r="O262" s="26"/>
      <c r="P262" s="65"/>
      <c r="Q262" s="71"/>
      <c r="R262" s="71"/>
    </row>
    <row r="263" spans="2:18" x14ac:dyDescent="0.25">
      <c r="B263" s="139">
        <v>44081</v>
      </c>
      <c r="C263" s="47" t="s">
        <v>6</v>
      </c>
      <c r="D263" s="80"/>
      <c r="E263" s="80"/>
      <c r="F263" s="80"/>
      <c r="G263" s="81">
        <f t="shared" si="110"/>
        <v>0</v>
      </c>
      <c r="H263" s="13" t="b">
        <f t="shared" si="89"/>
        <v>0</v>
      </c>
      <c r="I263" s="82"/>
      <c r="J263" s="82"/>
      <c r="K263" s="80">
        <f t="shared" si="111"/>
        <v>0</v>
      </c>
      <c r="L263" s="83"/>
      <c r="M263" s="83">
        <f t="shared" si="112"/>
        <v>0</v>
      </c>
      <c r="N263" s="84">
        <f>M263-$E$6</f>
        <v>-0.29166666666666669</v>
      </c>
      <c r="O263" s="85">
        <f t="shared" si="113"/>
        <v>-0.29166666666666669</v>
      </c>
      <c r="P263" s="67">
        <f>P262+N263</f>
        <v>-0.29166666666666669</v>
      </c>
      <c r="Q263" s="71"/>
      <c r="R263" s="71"/>
    </row>
    <row r="264" spans="2:18" x14ac:dyDescent="0.25">
      <c r="B264" s="139">
        <v>44082</v>
      </c>
      <c r="C264" s="47" t="s">
        <v>7</v>
      </c>
      <c r="D264" s="80"/>
      <c r="E264" s="80"/>
      <c r="F264" s="80"/>
      <c r="G264" s="81">
        <f t="shared" si="110"/>
        <v>0</v>
      </c>
      <c r="H264" s="13" t="b">
        <f t="shared" si="89"/>
        <v>0</v>
      </c>
      <c r="I264" s="82"/>
      <c r="J264" s="82"/>
      <c r="K264" s="80">
        <f t="shared" si="111"/>
        <v>0</v>
      </c>
      <c r="L264" s="83"/>
      <c r="M264" s="83">
        <f t="shared" si="112"/>
        <v>0</v>
      </c>
      <c r="N264" s="84">
        <f>M264-$E$6</f>
        <v>-0.29166666666666669</v>
      </c>
      <c r="O264" s="85">
        <f t="shared" si="113"/>
        <v>-0.58333333333333337</v>
      </c>
      <c r="P264" s="67">
        <f>P263+N264</f>
        <v>-0.58333333333333337</v>
      </c>
      <c r="Q264" s="71"/>
      <c r="R264" s="71"/>
    </row>
    <row r="265" spans="2:18" x14ac:dyDescent="0.25">
      <c r="B265" s="139">
        <v>44083</v>
      </c>
      <c r="C265" s="47" t="s">
        <v>23</v>
      </c>
      <c r="D265" s="80">
        <v>0.33611111111111108</v>
      </c>
      <c r="E265" s="80">
        <v>0.44166666666666665</v>
      </c>
      <c r="F265" s="80">
        <v>0.45833333333333331</v>
      </c>
      <c r="G265" s="81">
        <f t="shared" si="110"/>
        <v>1.6666666666666663E-2</v>
      </c>
      <c r="H265" s="13">
        <f t="shared" si="89"/>
        <v>2.7777777777777748E-3</v>
      </c>
      <c r="I265" s="82"/>
      <c r="J265" s="82"/>
      <c r="K265" s="80">
        <f t="shared" si="111"/>
        <v>0</v>
      </c>
      <c r="L265" s="83">
        <v>0.62638888888888888</v>
      </c>
      <c r="M265" s="83">
        <f t="shared" si="112"/>
        <v>0.28750000000000003</v>
      </c>
      <c r="N265" s="84">
        <f>M265-$E$6</f>
        <v>-4.1666666666666519E-3</v>
      </c>
      <c r="O265" s="85">
        <f t="shared" si="113"/>
        <v>-0.58750000000000002</v>
      </c>
      <c r="P265" s="67">
        <f>P264+N265</f>
        <v>-0.58750000000000002</v>
      </c>
      <c r="Q265" s="71"/>
      <c r="R265" s="71"/>
    </row>
    <row r="266" spans="2:18" x14ac:dyDescent="0.25">
      <c r="B266" s="139">
        <v>44084</v>
      </c>
      <c r="C266" s="47" t="s">
        <v>8</v>
      </c>
      <c r="D266" s="80">
        <v>0.33194444444444443</v>
      </c>
      <c r="E266" s="80">
        <v>0.43055555555555558</v>
      </c>
      <c r="F266" s="80">
        <v>0.44930555555555557</v>
      </c>
      <c r="G266" s="81">
        <f t="shared" si="110"/>
        <v>1.8749999999999989E-2</v>
      </c>
      <c r="H266" s="13">
        <f t="shared" si="89"/>
        <v>4.8611111111111008E-3</v>
      </c>
      <c r="I266" s="82"/>
      <c r="J266" s="82"/>
      <c r="K266" s="80">
        <f t="shared" si="111"/>
        <v>0</v>
      </c>
      <c r="L266" s="83">
        <v>0.62777777777777777</v>
      </c>
      <c r="M266" s="83">
        <f t="shared" si="112"/>
        <v>0.29097222222222224</v>
      </c>
      <c r="N266" s="84">
        <f>M266-$E$6</f>
        <v>-6.9444444444444198E-4</v>
      </c>
      <c r="O266" s="85">
        <f t="shared" si="113"/>
        <v>-0.58819444444444446</v>
      </c>
      <c r="P266" s="67">
        <f>P265+N266</f>
        <v>-0.58819444444444446</v>
      </c>
      <c r="Q266" s="71"/>
      <c r="R266" s="71"/>
    </row>
    <row r="267" spans="2:18" x14ac:dyDescent="0.25">
      <c r="B267" s="139">
        <v>44085</v>
      </c>
      <c r="C267" s="47" t="s">
        <v>9</v>
      </c>
      <c r="D267" s="80">
        <v>0.32777777777777778</v>
      </c>
      <c r="E267" s="80">
        <v>0.43888888888888888</v>
      </c>
      <c r="F267" s="80">
        <v>0.4548611111111111</v>
      </c>
      <c r="G267" s="81">
        <f t="shared" si="110"/>
        <v>1.5972222222222221E-2</v>
      </c>
      <c r="H267" s="13">
        <f t="shared" si="89"/>
        <v>2.0833333333333329E-3</v>
      </c>
      <c r="I267" s="82"/>
      <c r="J267" s="82"/>
      <c r="K267" s="80">
        <f t="shared" si="111"/>
        <v>0</v>
      </c>
      <c r="L267" s="83">
        <v>0.62777777777777777</v>
      </c>
      <c r="M267" s="83">
        <f t="shared" si="112"/>
        <v>0.29791666666666666</v>
      </c>
      <c r="N267" s="84">
        <f>M267-$E$6</f>
        <v>6.2499999999999778E-3</v>
      </c>
      <c r="O267" s="85">
        <f t="shared" si="113"/>
        <v>-0.58194444444444449</v>
      </c>
      <c r="P267" s="67">
        <f>P266+N267</f>
        <v>-0.58194444444444449</v>
      </c>
      <c r="Q267" s="72">
        <f t="shared" ref="Q267" si="116">SUM(M263:M267)</f>
        <v>0.87638888888888888</v>
      </c>
      <c r="R267" s="72">
        <f t="shared" ref="R267" si="117">Q267/5</f>
        <v>0.17527777777777778</v>
      </c>
    </row>
    <row r="268" spans="2:18" x14ac:dyDescent="0.25">
      <c r="B268" s="139">
        <v>44086</v>
      </c>
      <c r="C268" s="48" t="s">
        <v>21</v>
      </c>
      <c r="D268" s="43"/>
      <c r="E268" s="43"/>
      <c r="F268" s="43"/>
      <c r="G268" s="34"/>
      <c r="H268" s="25"/>
      <c r="I268" s="28"/>
      <c r="J268" s="28"/>
      <c r="K268" s="43"/>
      <c r="L268" s="27"/>
      <c r="M268" s="27"/>
      <c r="N268" s="44"/>
      <c r="O268" s="26"/>
      <c r="P268" s="65"/>
      <c r="Q268" s="71"/>
      <c r="R268" s="71"/>
    </row>
    <row r="269" spans="2:18" x14ac:dyDescent="0.25">
      <c r="B269" s="139">
        <v>44087</v>
      </c>
      <c r="C269" s="48" t="s">
        <v>22</v>
      </c>
      <c r="D269" s="43"/>
      <c r="E269" s="43"/>
      <c r="F269" s="43"/>
      <c r="G269" s="34"/>
      <c r="H269" s="28"/>
      <c r="I269" s="28"/>
      <c r="J269" s="28"/>
      <c r="K269" s="43"/>
      <c r="L269" s="27"/>
      <c r="M269" s="27"/>
      <c r="N269" s="44"/>
      <c r="O269" s="26"/>
      <c r="P269" s="65"/>
      <c r="Q269" s="71"/>
      <c r="R269" s="71"/>
    </row>
    <row r="270" spans="2:18" x14ac:dyDescent="0.25">
      <c r="B270" s="139">
        <v>44088</v>
      </c>
      <c r="C270" s="47" t="s">
        <v>6</v>
      </c>
      <c r="D270" s="35">
        <v>0.32500000000000001</v>
      </c>
      <c r="E270" s="35">
        <v>0.46458333333333335</v>
      </c>
      <c r="F270" s="35">
        <v>0.48055555555555557</v>
      </c>
      <c r="G270" s="30">
        <f t="shared" si="110"/>
        <v>1.5972222222222221E-2</v>
      </c>
      <c r="H270" s="13">
        <f t="shared" si="89"/>
        <v>2.0833333333333329E-3</v>
      </c>
      <c r="I270" s="36"/>
      <c r="J270" s="36"/>
      <c r="K270" s="35">
        <f t="shared" si="111"/>
        <v>0</v>
      </c>
      <c r="L270" s="32">
        <v>0.62638888888888888</v>
      </c>
      <c r="M270" s="32">
        <f t="shared" si="112"/>
        <v>0.29930555555555555</v>
      </c>
      <c r="N270" s="23">
        <f>M270-$E$6</f>
        <v>7.6388888888888618E-3</v>
      </c>
      <c r="O270" s="33">
        <f t="shared" si="113"/>
        <v>7.6388888888888618E-3</v>
      </c>
      <c r="P270" s="67">
        <f>P269+N270</f>
        <v>7.6388888888888618E-3</v>
      </c>
      <c r="Q270" s="71"/>
      <c r="R270" s="71"/>
    </row>
    <row r="271" spans="2:18" x14ac:dyDescent="0.25">
      <c r="B271" s="139">
        <v>44089</v>
      </c>
      <c r="C271" s="47" t="s">
        <v>7</v>
      </c>
      <c r="D271" s="35">
        <v>0.32500000000000001</v>
      </c>
      <c r="E271" s="35">
        <v>0.44375000000000003</v>
      </c>
      <c r="F271" s="35">
        <v>0.45833333333333331</v>
      </c>
      <c r="G271" s="30">
        <f t="shared" si="110"/>
        <v>1.4583333333333282E-2</v>
      </c>
      <c r="H271" s="13">
        <f t="shared" si="89"/>
        <v>6.9444444444439341E-4</v>
      </c>
      <c r="I271" s="36"/>
      <c r="J271" s="36"/>
      <c r="K271" s="35">
        <f t="shared" si="111"/>
        <v>0</v>
      </c>
      <c r="L271" s="32">
        <v>0.62708333333333333</v>
      </c>
      <c r="M271" s="32">
        <f t="shared" si="112"/>
        <v>0.30138888888888893</v>
      </c>
      <c r="N271" s="23">
        <f>M271-$E$6</f>
        <v>9.7222222222222432E-3</v>
      </c>
      <c r="O271" s="33">
        <f t="shared" si="113"/>
        <v>1.7361111111111105E-2</v>
      </c>
      <c r="P271" s="67">
        <f>P270+N271</f>
        <v>1.7361111111111105E-2</v>
      </c>
      <c r="Q271" s="71"/>
      <c r="R271" s="71"/>
    </row>
    <row r="272" spans="2:18" x14ac:dyDescent="0.25">
      <c r="B272" s="139">
        <v>44090</v>
      </c>
      <c r="C272" s="47" t="s">
        <v>23</v>
      </c>
      <c r="D272" s="35">
        <v>0.32500000000000001</v>
      </c>
      <c r="E272" s="35">
        <v>0.44305555555555554</v>
      </c>
      <c r="F272" s="35">
        <v>0.45763888888888887</v>
      </c>
      <c r="G272" s="30">
        <f t="shared" si="110"/>
        <v>1.4583333333333337E-2</v>
      </c>
      <c r="H272" s="13">
        <f t="shared" si="89"/>
        <v>6.9444444444444892E-4</v>
      </c>
      <c r="I272" s="36"/>
      <c r="J272" s="36"/>
      <c r="K272" s="35">
        <f t="shared" si="111"/>
        <v>0</v>
      </c>
      <c r="L272" s="32">
        <v>0.62986111111111109</v>
      </c>
      <c r="M272" s="32">
        <f t="shared" si="112"/>
        <v>0.30416666666666664</v>
      </c>
      <c r="N272" s="23">
        <f>M272-$E$6</f>
        <v>1.2499999999999956E-2</v>
      </c>
      <c r="O272" s="33">
        <f t="shared" si="113"/>
        <v>2.9861111111111061E-2</v>
      </c>
      <c r="P272" s="67">
        <f>P271+N272</f>
        <v>2.9861111111111061E-2</v>
      </c>
      <c r="Q272" s="71"/>
      <c r="R272" s="71"/>
    </row>
    <row r="273" spans="2:18" x14ac:dyDescent="0.25">
      <c r="B273" s="139">
        <v>44091</v>
      </c>
      <c r="C273" s="47" t="s">
        <v>8</v>
      </c>
      <c r="D273" s="35">
        <v>0.31805555555555554</v>
      </c>
      <c r="E273" s="35">
        <v>0.44861111111111113</v>
      </c>
      <c r="F273" s="35">
        <v>0.46736111111111112</v>
      </c>
      <c r="G273" s="30">
        <f t="shared" si="110"/>
        <v>1.8749999999999989E-2</v>
      </c>
      <c r="H273" s="13">
        <f t="shared" si="89"/>
        <v>4.8611111111111008E-3</v>
      </c>
      <c r="I273" s="36"/>
      <c r="J273" s="36"/>
      <c r="K273" s="35">
        <f t="shared" si="111"/>
        <v>0</v>
      </c>
      <c r="L273" s="32">
        <v>0.62708333333333333</v>
      </c>
      <c r="M273" s="32">
        <f t="shared" si="112"/>
        <v>0.3041666666666667</v>
      </c>
      <c r="N273" s="23">
        <f>M273-$E$6</f>
        <v>1.2500000000000011E-2</v>
      </c>
      <c r="O273" s="33">
        <f t="shared" si="113"/>
        <v>4.2361111111111072E-2</v>
      </c>
      <c r="P273" s="67">
        <f>P272+N273</f>
        <v>4.2361111111111072E-2</v>
      </c>
      <c r="Q273" s="71"/>
      <c r="R273" s="71"/>
    </row>
    <row r="274" spans="2:18" x14ac:dyDescent="0.25">
      <c r="B274" s="139">
        <v>44092</v>
      </c>
      <c r="C274" s="47" t="s">
        <v>9</v>
      </c>
      <c r="D274" s="35">
        <v>0.3298611111111111</v>
      </c>
      <c r="E274" s="35">
        <v>0.44375000000000003</v>
      </c>
      <c r="F274" s="35">
        <v>0.46388888888888885</v>
      </c>
      <c r="G274" s="30">
        <f t="shared" si="110"/>
        <v>2.0138888888888817E-2</v>
      </c>
      <c r="H274" s="13">
        <f t="shared" si="89"/>
        <v>6.2499999999999292E-3</v>
      </c>
      <c r="I274" s="36"/>
      <c r="J274" s="36"/>
      <c r="K274" s="35">
        <f t="shared" si="111"/>
        <v>0</v>
      </c>
      <c r="L274" s="32">
        <v>0.62708333333333333</v>
      </c>
      <c r="M274" s="32">
        <f t="shared" si="112"/>
        <v>0.2909722222222223</v>
      </c>
      <c r="N274" s="23">
        <f>M274-$E$6</f>
        <v>-6.9444444444438647E-4</v>
      </c>
      <c r="O274" s="33">
        <f t="shared" si="113"/>
        <v>4.1666666666666685E-2</v>
      </c>
      <c r="P274" s="67">
        <f>P273+N274</f>
        <v>4.1666666666666685E-2</v>
      </c>
      <c r="Q274" s="72">
        <f t="shared" ref="Q274" si="118">SUM(M270:M274)</f>
        <v>1.5</v>
      </c>
      <c r="R274" s="72">
        <f t="shared" ref="R274" si="119">Q274/5</f>
        <v>0.3</v>
      </c>
    </row>
    <row r="275" spans="2:18" x14ac:dyDescent="0.25">
      <c r="B275" s="139">
        <v>44093</v>
      </c>
      <c r="C275" s="48" t="s">
        <v>21</v>
      </c>
      <c r="D275" s="43"/>
      <c r="E275" s="43"/>
      <c r="F275" s="43"/>
      <c r="G275" s="34"/>
      <c r="H275" s="25"/>
      <c r="I275" s="28"/>
      <c r="J275" s="28"/>
      <c r="K275" s="43"/>
      <c r="L275" s="27"/>
      <c r="M275" s="27"/>
      <c r="N275" s="44"/>
      <c r="O275" s="26"/>
      <c r="P275" s="65"/>
      <c r="Q275" s="71"/>
      <c r="R275" s="71"/>
    </row>
    <row r="276" spans="2:18" x14ac:dyDescent="0.25">
      <c r="B276" s="139">
        <v>44094</v>
      </c>
      <c r="C276" s="48" t="s">
        <v>22</v>
      </c>
      <c r="D276" s="43"/>
      <c r="E276" s="43"/>
      <c r="F276" s="43"/>
      <c r="G276" s="34"/>
      <c r="H276" s="28"/>
      <c r="I276" s="28"/>
      <c r="J276" s="28"/>
      <c r="K276" s="43"/>
      <c r="L276" s="27"/>
      <c r="M276" s="27"/>
      <c r="N276" s="44"/>
      <c r="O276" s="26"/>
      <c r="P276" s="65"/>
      <c r="Q276" s="71"/>
      <c r="R276" s="71"/>
    </row>
    <row r="277" spans="2:18" x14ac:dyDescent="0.25">
      <c r="B277" s="139">
        <v>44095</v>
      </c>
      <c r="C277" s="47" t="s">
        <v>6</v>
      </c>
      <c r="D277" s="35"/>
      <c r="E277" s="35"/>
      <c r="F277" s="35"/>
      <c r="G277" s="30">
        <f t="shared" si="110"/>
        <v>0</v>
      </c>
      <c r="H277" s="13" t="b">
        <f t="shared" si="89"/>
        <v>0</v>
      </c>
      <c r="I277" s="36"/>
      <c r="J277" s="36"/>
      <c r="K277" s="35">
        <f t="shared" si="111"/>
        <v>0</v>
      </c>
      <c r="L277" s="32"/>
      <c r="M277" s="32">
        <f t="shared" si="112"/>
        <v>0</v>
      </c>
      <c r="N277" s="23">
        <f>M277-$E$6</f>
        <v>-0.29166666666666669</v>
      </c>
      <c r="O277" s="33">
        <f t="shared" si="113"/>
        <v>-0.29166666666666669</v>
      </c>
      <c r="P277" s="67">
        <f>P276+N277</f>
        <v>-0.29166666666666669</v>
      </c>
      <c r="Q277" s="71"/>
      <c r="R277" s="71"/>
    </row>
    <row r="278" spans="2:18" x14ac:dyDescent="0.25">
      <c r="B278" s="139">
        <v>44096</v>
      </c>
      <c r="C278" s="47" t="s">
        <v>7</v>
      </c>
      <c r="D278" s="35"/>
      <c r="E278" s="35"/>
      <c r="F278" s="35"/>
      <c r="G278" s="30">
        <f t="shared" si="110"/>
        <v>0</v>
      </c>
      <c r="H278" s="13" t="b">
        <f t="shared" si="89"/>
        <v>0</v>
      </c>
      <c r="I278" s="36"/>
      <c r="J278" s="36"/>
      <c r="K278" s="35">
        <f t="shared" si="111"/>
        <v>0</v>
      </c>
      <c r="L278" s="32"/>
      <c r="M278" s="32">
        <f t="shared" si="112"/>
        <v>0</v>
      </c>
      <c r="N278" s="23">
        <f>M278-$E$6</f>
        <v>-0.29166666666666669</v>
      </c>
      <c r="O278" s="33">
        <f t="shared" si="113"/>
        <v>-0.58333333333333337</v>
      </c>
      <c r="P278" s="67">
        <f>P277+N278</f>
        <v>-0.58333333333333337</v>
      </c>
      <c r="Q278" s="71"/>
      <c r="R278" s="71"/>
    </row>
    <row r="279" spans="2:18" x14ac:dyDescent="0.25">
      <c r="B279" s="139">
        <v>44097</v>
      </c>
      <c r="C279" s="47" t="s">
        <v>23</v>
      </c>
      <c r="D279" s="35">
        <v>0.33333333333333331</v>
      </c>
      <c r="E279" s="35"/>
      <c r="F279" s="35"/>
      <c r="G279" s="30">
        <f t="shared" si="110"/>
        <v>0</v>
      </c>
      <c r="H279" s="13" t="b">
        <f t="shared" si="89"/>
        <v>0</v>
      </c>
      <c r="I279" s="36"/>
      <c r="J279" s="36"/>
      <c r="K279" s="35">
        <f t="shared" si="111"/>
        <v>0</v>
      </c>
      <c r="L279" s="32">
        <v>0.625</v>
      </c>
      <c r="M279" s="32">
        <f t="shared" si="112"/>
        <v>0.29166666666666669</v>
      </c>
      <c r="N279" s="23">
        <f t="shared" ref="N279:N281" si="120">M279-$E$6</f>
        <v>0</v>
      </c>
      <c r="O279" s="33">
        <f t="shared" si="113"/>
        <v>-0.58333333333333337</v>
      </c>
      <c r="P279" s="67">
        <f>P278+N279</f>
        <v>-0.58333333333333337</v>
      </c>
      <c r="Q279" s="71"/>
      <c r="R279" s="71"/>
    </row>
    <row r="280" spans="2:18" x14ac:dyDescent="0.25">
      <c r="B280" s="139">
        <v>44098</v>
      </c>
      <c r="C280" s="47" t="s">
        <v>8</v>
      </c>
      <c r="D280" s="35">
        <v>0.33680555555555558</v>
      </c>
      <c r="E280" s="35"/>
      <c r="F280" s="35"/>
      <c r="G280" s="30">
        <f t="shared" si="110"/>
        <v>0</v>
      </c>
      <c r="H280" s="13" t="b">
        <f t="shared" ref="H280:H343" si="121">IF(G280&gt;$I$6,G280-$I$6)</f>
        <v>0</v>
      </c>
      <c r="I280" s="36"/>
      <c r="J280" s="36"/>
      <c r="K280" s="35">
        <f t="shared" si="111"/>
        <v>0</v>
      </c>
      <c r="L280" s="32">
        <v>0.64861111111111114</v>
      </c>
      <c r="M280" s="32">
        <f t="shared" si="112"/>
        <v>0.31180555555555556</v>
      </c>
      <c r="N280" s="23">
        <f t="shared" si="120"/>
        <v>2.0138888888888873E-2</v>
      </c>
      <c r="O280" s="33">
        <f t="shared" si="113"/>
        <v>-0.56319444444444455</v>
      </c>
      <c r="P280" s="67">
        <f>P279+N280</f>
        <v>-0.56319444444444455</v>
      </c>
      <c r="Q280" s="71"/>
      <c r="R280" s="71"/>
    </row>
    <row r="281" spans="2:18" x14ac:dyDescent="0.25">
      <c r="B281" s="139">
        <v>44099</v>
      </c>
      <c r="C281" s="47" t="s">
        <v>9</v>
      </c>
      <c r="D281" s="35">
        <v>0.33194444444444443</v>
      </c>
      <c r="E281" s="35">
        <v>0.50694444444444442</v>
      </c>
      <c r="F281" s="35">
        <v>0.52222222222222225</v>
      </c>
      <c r="G281" s="30">
        <f t="shared" si="110"/>
        <v>1.5277777777777835E-2</v>
      </c>
      <c r="H281" s="13">
        <f t="shared" si="121"/>
        <v>1.3888888888889464E-3</v>
      </c>
      <c r="I281" s="36"/>
      <c r="J281" s="36"/>
      <c r="K281" s="35">
        <f t="shared" si="111"/>
        <v>0</v>
      </c>
      <c r="L281" s="32">
        <v>0.62847222222222221</v>
      </c>
      <c r="M281" s="32">
        <f t="shared" si="112"/>
        <v>0.29513888888888884</v>
      </c>
      <c r="N281" s="23">
        <f t="shared" si="120"/>
        <v>3.4722222222221544E-3</v>
      </c>
      <c r="O281" s="33">
        <f t="shared" si="113"/>
        <v>-0.55972222222222245</v>
      </c>
      <c r="P281" s="67">
        <f>P280+N281</f>
        <v>-0.55972222222222245</v>
      </c>
      <c r="Q281" s="72">
        <f t="shared" ref="Q281" si="122">SUM(M277:M281)</f>
        <v>0.89861111111111103</v>
      </c>
      <c r="R281" s="72">
        <f t="shared" ref="R281" si="123">Q281/5</f>
        <v>0.1797222222222222</v>
      </c>
    </row>
    <row r="282" spans="2:18" x14ac:dyDescent="0.25">
      <c r="B282" s="139">
        <v>44100</v>
      </c>
      <c r="C282" s="48" t="s">
        <v>21</v>
      </c>
      <c r="D282" s="43"/>
      <c r="E282" s="43"/>
      <c r="F282" s="43"/>
      <c r="G282" s="34"/>
      <c r="H282" s="25"/>
      <c r="I282" s="28"/>
      <c r="J282" s="28"/>
      <c r="K282" s="43"/>
      <c r="L282" s="27"/>
      <c r="M282" s="27"/>
      <c r="N282" s="44"/>
      <c r="O282" s="26"/>
      <c r="P282" s="65"/>
      <c r="Q282" s="71"/>
      <c r="R282" s="71"/>
    </row>
    <row r="283" spans="2:18" x14ac:dyDescent="0.25">
      <c r="B283" s="139">
        <v>44101</v>
      </c>
      <c r="C283" s="48" t="s">
        <v>22</v>
      </c>
      <c r="D283" s="43"/>
      <c r="E283" s="43"/>
      <c r="F283" s="43"/>
      <c r="G283" s="34"/>
      <c r="H283" s="28"/>
      <c r="I283" s="28"/>
      <c r="J283" s="28"/>
      <c r="K283" s="43"/>
      <c r="L283" s="27"/>
      <c r="M283" s="27"/>
      <c r="N283" s="44"/>
      <c r="O283" s="26"/>
      <c r="P283" s="65"/>
      <c r="Q283" s="71"/>
      <c r="R283" s="71"/>
    </row>
    <row r="284" spans="2:18" x14ac:dyDescent="0.25">
      <c r="B284" s="139">
        <v>44102</v>
      </c>
      <c r="C284" s="47" t="s">
        <v>6</v>
      </c>
      <c r="D284" s="35">
        <v>0.34097222222222223</v>
      </c>
      <c r="E284" s="35">
        <v>0.4458333333333333</v>
      </c>
      <c r="F284" s="35">
        <v>0.45902777777777781</v>
      </c>
      <c r="G284" s="30">
        <f t="shared" si="110"/>
        <v>1.3194444444444509E-2</v>
      </c>
      <c r="H284" s="13" t="b">
        <f t="shared" si="121"/>
        <v>0</v>
      </c>
      <c r="I284" s="36"/>
      <c r="J284" s="36"/>
      <c r="K284" s="35">
        <f t="shared" si="111"/>
        <v>0</v>
      </c>
      <c r="L284" s="32">
        <v>0.66319444444444442</v>
      </c>
      <c r="M284" s="32">
        <f t="shared" ref="M284:M312" si="124">(L284-D284)-H284-K284</f>
        <v>0.32222222222222219</v>
      </c>
      <c r="N284" s="23">
        <f>M284-$E$6</f>
        <v>3.0555555555555503E-2</v>
      </c>
      <c r="O284" s="33">
        <f t="shared" si="113"/>
        <v>3.0555555555555503E-2</v>
      </c>
      <c r="P284" s="67">
        <f>P283+N284</f>
        <v>3.0555555555555503E-2</v>
      </c>
      <c r="Q284" s="71"/>
      <c r="R284" s="71"/>
    </row>
    <row r="285" spans="2:18" x14ac:dyDescent="0.25">
      <c r="B285" s="139">
        <v>44103</v>
      </c>
      <c r="C285" s="47" t="s">
        <v>7</v>
      </c>
      <c r="D285" s="35">
        <v>0.33680555555555558</v>
      </c>
      <c r="E285" s="35"/>
      <c r="F285" s="35"/>
      <c r="G285" s="30">
        <f t="shared" si="110"/>
        <v>0</v>
      </c>
      <c r="H285" s="13" t="b">
        <f t="shared" si="121"/>
        <v>0</v>
      </c>
      <c r="I285" s="36"/>
      <c r="J285" s="36"/>
      <c r="K285" s="35">
        <f t="shared" si="111"/>
        <v>0</v>
      </c>
      <c r="L285" s="32">
        <v>0.6430555555555556</v>
      </c>
      <c r="M285" s="32">
        <f t="shared" si="124"/>
        <v>0.30625000000000002</v>
      </c>
      <c r="N285" s="23">
        <f t="shared" ref="N285:N295" si="125">M285-$D$6</f>
        <v>-1.2500000000000011E-2</v>
      </c>
      <c r="O285" s="33">
        <f>O284+N285</f>
        <v>1.8055555555555491E-2</v>
      </c>
      <c r="P285" s="67">
        <f>P284+N285</f>
        <v>1.8055555555555491E-2</v>
      </c>
      <c r="Q285" s="71"/>
      <c r="R285" s="71"/>
    </row>
    <row r="286" spans="2:18" x14ac:dyDescent="0.25">
      <c r="B286" s="139">
        <v>44104</v>
      </c>
      <c r="C286" s="47" t="s">
        <v>23</v>
      </c>
      <c r="D286" s="35"/>
      <c r="E286" s="35"/>
      <c r="F286" s="35"/>
      <c r="G286" s="30">
        <f t="shared" ref="G286:G312" si="126">F286-E286</f>
        <v>0</v>
      </c>
      <c r="H286" s="13" t="b">
        <f t="shared" si="121"/>
        <v>0</v>
      </c>
      <c r="I286" s="36"/>
      <c r="J286" s="36"/>
      <c r="K286" s="35">
        <f t="shared" ref="K286:K312" si="127">J286-I286</f>
        <v>0</v>
      </c>
      <c r="L286" s="32"/>
      <c r="M286" s="32">
        <f t="shared" si="124"/>
        <v>0</v>
      </c>
      <c r="N286" s="23">
        <f t="shared" si="125"/>
        <v>-0.31875000000000003</v>
      </c>
      <c r="O286" s="33">
        <f t="shared" ref="O286:O312" si="128">O285+N286</f>
        <v>-0.30069444444444454</v>
      </c>
      <c r="P286" s="67">
        <f>P285+N286</f>
        <v>-0.30069444444444454</v>
      </c>
      <c r="Q286" s="71"/>
      <c r="R286" s="71"/>
    </row>
    <row r="287" spans="2:18" x14ac:dyDescent="0.25">
      <c r="B287" s="139">
        <v>44105</v>
      </c>
      <c r="C287" s="47" t="s">
        <v>8</v>
      </c>
      <c r="D287" s="35"/>
      <c r="E287" s="35"/>
      <c r="F287" s="35"/>
      <c r="G287" s="30">
        <f t="shared" si="126"/>
        <v>0</v>
      </c>
      <c r="H287" s="13" t="b">
        <f t="shared" si="121"/>
        <v>0</v>
      </c>
      <c r="I287" s="36"/>
      <c r="J287" s="36"/>
      <c r="K287" s="35">
        <f t="shared" si="127"/>
        <v>0</v>
      </c>
      <c r="L287" s="32"/>
      <c r="M287" s="32">
        <f>(L287-D287)-H287-K287</f>
        <v>0</v>
      </c>
      <c r="N287" s="23">
        <f t="shared" si="125"/>
        <v>-0.31875000000000003</v>
      </c>
      <c r="O287" s="33">
        <f t="shared" si="128"/>
        <v>-0.61944444444444458</v>
      </c>
      <c r="P287" s="67">
        <f>P286+N287</f>
        <v>-0.61944444444444458</v>
      </c>
      <c r="Q287" s="71"/>
      <c r="R287" s="71"/>
    </row>
    <row r="288" spans="2:18" x14ac:dyDescent="0.25">
      <c r="B288" s="139">
        <v>44106</v>
      </c>
      <c r="C288" s="47" t="s">
        <v>9</v>
      </c>
      <c r="D288" s="35"/>
      <c r="E288" s="35"/>
      <c r="F288" s="35"/>
      <c r="G288" s="30">
        <f t="shared" si="126"/>
        <v>0</v>
      </c>
      <c r="H288" s="13" t="b">
        <f t="shared" si="121"/>
        <v>0</v>
      </c>
      <c r="I288" s="36"/>
      <c r="J288" s="36"/>
      <c r="K288" s="35">
        <f t="shared" si="127"/>
        <v>0</v>
      </c>
      <c r="L288" s="32"/>
      <c r="M288" s="32">
        <f t="shared" si="124"/>
        <v>0</v>
      </c>
      <c r="N288" s="23">
        <f t="shared" si="125"/>
        <v>-0.31875000000000003</v>
      </c>
      <c r="O288" s="33">
        <f t="shared" si="128"/>
        <v>-0.93819444444444455</v>
      </c>
      <c r="P288" s="67">
        <f>P287+N288</f>
        <v>-0.93819444444444455</v>
      </c>
      <c r="Q288" s="72">
        <f t="shared" ref="Q288" si="129">SUM(M284:M288)</f>
        <v>0.62847222222222221</v>
      </c>
      <c r="R288" s="72">
        <f t="shared" ref="R288" si="130">Q288/5</f>
        <v>0.12569444444444444</v>
      </c>
    </row>
    <row r="289" spans="2:18" x14ac:dyDescent="0.25">
      <c r="B289" s="139">
        <v>44107</v>
      </c>
      <c r="C289" s="48" t="s">
        <v>21</v>
      </c>
      <c r="D289" s="43"/>
      <c r="E289" s="43"/>
      <c r="F289" s="43"/>
      <c r="G289" s="34"/>
      <c r="H289" s="25"/>
      <c r="I289" s="28"/>
      <c r="J289" s="28"/>
      <c r="K289" s="43"/>
      <c r="L289" s="27"/>
      <c r="M289" s="27"/>
      <c r="N289" s="44"/>
      <c r="O289" s="26"/>
      <c r="P289" s="65"/>
      <c r="Q289" s="71"/>
      <c r="R289" s="71"/>
    </row>
    <row r="290" spans="2:18" x14ac:dyDescent="0.25">
      <c r="B290" s="139">
        <v>44108</v>
      </c>
      <c r="C290" s="48" t="s">
        <v>22</v>
      </c>
      <c r="D290" s="43"/>
      <c r="E290" s="43"/>
      <c r="F290" s="43"/>
      <c r="G290" s="34"/>
      <c r="H290" s="28"/>
      <c r="I290" s="28"/>
      <c r="J290" s="28"/>
      <c r="K290" s="43"/>
      <c r="L290" s="27"/>
      <c r="M290" s="27"/>
      <c r="N290" s="44"/>
      <c r="O290" s="26"/>
      <c r="P290" s="65"/>
      <c r="Q290" s="71"/>
      <c r="R290" s="71"/>
    </row>
    <row r="291" spans="2:18" x14ac:dyDescent="0.25">
      <c r="B291" s="139">
        <v>44109</v>
      </c>
      <c r="C291" s="47" t="s">
        <v>6</v>
      </c>
      <c r="D291" s="35"/>
      <c r="E291" s="35"/>
      <c r="F291" s="35"/>
      <c r="G291" s="30">
        <f t="shared" si="126"/>
        <v>0</v>
      </c>
      <c r="H291" s="13" t="b">
        <f t="shared" si="121"/>
        <v>0</v>
      </c>
      <c r="I291" s="36"/>
      <c r="J291" s="36"/>
      <c r="K291" s="35">
        <f t="shared" si="127"/>
        <v>0</v>
      </c>
      <c r="L291" s="32"/>
      <c r="M291" s="32">
        <f t="shared" si="124"/>
        <v>0</v>
      </c>
      <c r="N291" s="23">
        <f t="shared" si="125"/>
        <v>-0.31875000000000003</v>
      </c>
      <c r="O291" s="33">
        <f t="shared" si="128"/>
        <v>-0.31875000000000003</v>
      </c>
      <c r="P291" s="67">
        <f>P290+N291</f>
        <v>-0.31875000000000003</v>
      </c>
      <c r="Q291" s="71"/>
      <c r="R291" s="71"/>
    </row>
    <row r="292" spans="2:18" x14ac:dyDescent="0.25">
      <c r="B292" s="139">
        <v>44110</v>
      </c>
      <c r="C292" s="47" t="s">
        <v>7</v>
      </c>
      <c r="D292" s="35"/>
      <c r="E292" s="35"/>
      <c r="F292" s="35"/>
      <c r="G292" s="30">
        <f t="shared" si="126"/>
        <v>0</v>
      </c>
      <c r="H292" s="13" t="b">
        <f t="shared" si="121"/>
        <v>0</v>
      </c>
      <c r="I292" s="36"/>
      <c r="J292" s="36"/>
      <c r="K292" s="35">
        <f t="shared" si="127"/>
        <v>0</v>
      </c>
      <c r="L292" s="32"/>
      <c r="M292" s="32">
        <f t="shared" si="124"/>
        <v>0</v>
      </c>
      <c r="N292" s="23">
        <f t="shared" si="125"/>
        <v>-0.31875000000000003</v>
      </c>
      <c r="O292" s="33">
        <f t="shared" si="128"/>
        <v>-0.63750000000000007</v>
      </c>
      <c r="P292" s="67">
        <f>P291+N292</f>
        <v>-0.63750000000000007</v>
      </c>
      <c r="Q292" s="71"/>
      <c r="R292" s="71"/>
    </row>
    <row r="293" spans="2:18" x14ac:dyDescent="0.25">
      <c r="B293" s="139">
        <v>44111</v>
      </c>
      <c r="C293" s="47" t="s">
        <v>23</v>
      </c>
      <c r="D293" s="35"/>
      <c r="E293" s="35"/>
      <c r="F293" s="35"/>
      <c r="G293" s="30">
        <f t="shared" si="126"/>
        <v>0</v>
      </c>
      <c r="H293" s="13" t="b">
        <f t="shared" si="121"/>
        <v>0</v>
      </c>
      <c r="I293" s="36"/>
      <c r="J293" s="36"/>
      <c r="K293" s="35">
        <f t="shared" si="127"/>
        <v>0</v>
      </c>
      <c r="L293" s="32"/>
      <c r="M293" s="32">
        <f t="shared" si="124"/>
        <v>0</v>
      </c>
      <c r="N293" s="23">
        <f t="shared" si="125"/>
        <v>-0.31875000000000003</v>
      </c>
      <c r="O293" s="33">
        <f t="shared" si="128"/>
        <v>-0.95625000000000004</v>
      </c>
      <c r="P293" s="67">
        <f>P292+N293</f>
        <v>-0.95625000000000004</v>
      </c>
      <c r="Q293" s="71"/>
      <c r="R293" s="71"/>
    </row>
    <row r="294" spans="2:18" x14ac:dyDescent="0.25">
      <c r="B294" s="139">
        <v>44112</v>
      </c>
      <c r="C294" s="47" t="s">
        <v>8</v>
      </c>
      <c r="D294" s="35"/>
      <c r="E294" s="35"/>
      <c r="F294" s="35"/>
      <c r="G294" s="30">
        <f t="shared" si="126"/>
        <v>0</v>
      </c>
      <c r="H294" s="13" t="b">
        <f t="shared" si="121"/>
        <v>0</v>
      </c>
      <c r="I294" s="36"/>
      <c r="J294" s="36"/>
      <c r="K294" s="35">
        <f t="shared" si="127"/>
        <v>0</v>
      </c>
      <c r="L294" s="32"/>
      <c r="M294" s="32">
        <f t="shared" si="124"/>
        <v>0</v>
      </c>
      <c r="N294" s="23">
        <f t="shared" si="125"/>
        <v>-0.31875000000000003</v>
      </c>
      <c r="O294" s="33">
        <f t="shared" si="128"/>
        <v>-1.2750000000000001</v>
      </c>
      <c r="P294" s="67">
        <f>P293+N294</f>
        <v>-1.2750000000000001</v>
      </c>
      <c r="Q294" s="71"/>
      <c r="R294" s="71"/>
    </row>
    <row r="295" spans="2:18" x14ac:dyDescent="0.25">
      <c r="B295" s="139">
        <v>44113</v>
      </c>
      <c r="C295" s="47" t="s">
        <v>9</v>
      </c>
      <c r="D295" s="35"/>
      <c r="E295" s="35"/>
      <c r="F295" s="35"/>
      <c r="G295" s="30">
        <f t="shared" si="126"/>
        <v>0</v>
      </c>
      <c r="H295" s="13" t="b">
        <f t="shared" si="121"/>
        <v>0</v>
      </c>
      <c r="I295" s="36"/>
      <c r="J295" s="36"/>
      <c r="K295" s="35">
        <f t="shared" si="127"/>
        <v>0</v>
      </c>
      <c r="L295" s="32"/>
      <c r="M295" s="32">
        <f t="shared" si="124"/>
        <v>0</v>
      </c>
      <c r="N295" s="23">
        <f t="shared" si="125"/>
        <v>-0.31875000000000003</v>
      </c>
      <c r="O295" s="33">
        <f t="shared" si="128"/>
        <v>-1.5937500000000002</v>
      </c>
      <c r="P295" s="67">
        <f>P294+N295</f>
        <v>-1.5937500000000002</v>
      </c>
      <c r="Q295" s="72">
        <f t="shared" ref="Q295" si="131">SUM(M291:M295)</f>
        <v>0</v>
      </c>
      <c r="R295" s="72">
        <f t="shared" ref="R295" si="132">Q295/5</f>
        <v>0</v>
      </c>
    </row>
    <row r="296" spans="2:18" x14ac:dyDescent="0.25">
      <c r="B296" s="139">
        <v>44114</v>
      </c>
      <c r="C296" s="48" t="s">
        <v>21</v>
      </c>
      <c r="D296" s="43"/>
      <c r="E296" s="43"/>
      <c r="F296" s="43"/>
      <c r="G296" s="34"/>
      <c r="H296" s="25"/>
      <c r="I296" s="28"/>
      <c r="J296" s="28"/>
      <c r="K296" s="43"/>
      <c r="L296" s="27"/>
      <c r="M296" s="27"/>
      <c r="N296" s="44"/>
      <c r="O296" s="26"/>
      <c r="P296" s="65"/>
      <c r="Q296" s="71"/>
      <c r="R296" s="71"/>
    </row>
    <row r="297" spans="2:18" x14ac:dyDescent="0.25">
      <c r="B297" s="139">
        <v>44115</v>
      </c>
      <c r="C297" s="48" t="s">
        <v>22</v>
      </c>
      <c r="D297" s="43"/>
      <c r="E297" s="43"/>
      <c r="F297" s="43"/>
      <c r="G297" s="34"/>
      <c r="H297" s="28"/>
      <c r="I297" s="28"/>
      <c r="J297" s="28"/>
      <c r="K297" s="43"/>
      <c r="L297" s="27"/>
      <c r="M297" s="27"/>
      <c r="N297" s="44"/>
      <c r="O297" s="26"/>
      <c r="P297" s="65"/>
      <c r="Q297" s="71"/>
      <c r="R297" s="71"/>
    </row>
    <row r="298" spans="2:18" x14ac:dyDescent="0.25">
      <c r="B298" s="139">
        <v>44116</v>
      </c>
      <c r="C298" s="47" t="s">
        <v>6</v>
      </c>
      <c r="D298" s="35"/>
      <c r="E298" s="35"/>
      <c r="F298" s="35"/>
      <c r="G298" s="30">
        <f t="shared" si="126"/>
        <v>0</v>
      </c>
      <c r="H298" s="13" t="b">
        <f t="shared" si="121"/>
        <v>0</v>
      </c>
      <c r="I298" s="36"/>
      <c r="J298" s="36"/>
      <c r="K298" s="35">
        <f t="shared" si="127"/>
        <v>0</v>
      </c>
      <c r="L298" s="32"/>
      <c r="M298" s="32">
        <f t="shared" si="124"/>
        <v>0</v>
      </c>
      <c r="N298" s="23">
        <f t="shared" ref="N298:N361" si="133">M298-$D$6</f>
        <v>-0.31875000000000003</v>
      </c>
      <c r="O298" s="33">
        <f t="shared" si="128"/>
        <v>-0.31875000000000003</v>
      </c>
      <c r="P298" s="67">
        <f>P297+N298</f>
        <v>-0.31875000000000003</v>
      </c>
      <c r="Q298" s="71"/>
      <c r="R298" s="71"/>
    </row>
    <row r="299" spans="2:18" x14ac:dyDescent="0.25">
      <c r="B299" s="139">
        <v>44117</v>
      </c>
      <c r="C299" s="47" t="s">
        <v>7</v>
      </c>
      <c r="D299" s="35"/>
      <c r="E299" s="35"/>
      <c r="F299" s="35"/>
      <c r="G299" s="30">
        <f t="shared" si="126"/>
        <v>0</v>
      </c>
      <c r="H299" s="13" t="b">
        <f t="shared" si="121"/>
        <v>0</v>
      </c>
      <c r="I299" s="36"/>
      <c r="J299" s="36"/>
      <c r="K299" s="35">
        <f t="shared" si="127"/>
        <v>0</v>
      </c>
      <c r="L299" s="32"/>
      <c r="M299" s="32">
        <f t="shared" si="124"/>
        <v>0</v>
      </c>
      <c r="N299" s="23">
        <f t="shared" si="133"/>
        <v>-0.31875000000000003</v>
      </c>
      <c r="O299" s="33">
        <f t="shared" si="128"/>
        <v>-0.63750000000000007</v>
      </c>
      <c r="P299" s="67">
        <f>P298+N299</f>
        <v>-0.63750000000000007</v>
      </c>
      <c r="Q299" s="71"/>
      <c r="R299" s="71"/>
    </row>
    <row r="300" spans="2:18" x14ac:dyDescent="0.25">
      <c r="B300" s="139">
        <v>44118</v>
      </c>
      <c r="C300" s="47" t="s">
        <v>23</v>
      </c>
      <c r="D300" s="35"/>
      <c r="E300" s="35"/>
      <c r="F300" s="35"/>
      <c r="G300" s="30">
        <f t="shared" si="126"/>
        <v>0</v>
      </c>
      <c r="H300" s="13" t="b">
        <f t="shared" si="121"/>
        <v>0</v>
      </c>
      <c r="I300" s="36"/>
      <c r="J300" s="36"/>
      <c r="K300" s="35">
        <f t="shared" si="127"/>
        <v>0</v>
      </c>
      <c r="L300" s="32"/>
      <c r="M300" s="32">
        <f t="shared" si="124"/>
        <v>0</v>
      </c>
      <c r="N300" s="23">
        <f t="shared" si="133"/>
        <v>-0.31875000000000003</v>
      </c>
      <c r="O300" s="33">
        <f t="shared" si="128"/>
        <v>-0.95625000000000004</v>
      </c>
      <c r="P300" s="67">
        <f>P299+N300</f>
        <v>-0.95625000000000004</v>
      </c>
      <c r="Q300" s="71"/>
      <c r="R300" s="71"/>
    </row>
    <row r="301" spans="2:18" x14ac:dyDescent="0.25">
      <c r="B301" s="139">
        <v>44119</v>
      </c>
      <c r="C301" s="47" t="s">
        <v>8</v>
      </c>
      <c r="D301" s="35"/>
      <c r="E301" s="35"/>
      <c r="F301" s="35"/>
      <c r="G301" s="30">
        <f t="shared" si="126"/>
        <v>0</v>
      </c>
      <c r="H301" s="13" t="b">
        <f t="shared" si="121"/>
        <v>0</v>
      </c>
      <c r="I301" s="36"/>
      <c r="J301" s="36"/>
      <c r="K301" s="35">
        <f t="shared" si="127"/>
        <v>0</v>
      </c>
      <c r="L301" s="32"/>
      <c r="M301" s="32">
        <f t="shared" si="124"/>
        <v>0</v>
      </c>
      <c r="N301" s="23">
        <f t="shared" si="133"/>
        <v>-0.31875000000000003</v>
      </c>
      <c r="O301" s="33">
        <f t="shared" si="128"/>
        <v>-1.2750000000000001</v>
      </c>
      <c r="P301" s="67">
        <f>P300+N301</f>
        <v>-1.2750000000000001</v>
      </c>
      <c r="Q301" s="71"/>
      <c r="R301" s="71"/>
    </row>
    <row r="302" spans="2:18" x14ac:dyDescent="0.25">
      <c r="B302" s="139">
        <v>44120</v>
      </c>
      <c r="C302" s="47" t="s">
        <v>9</v>
      </c>
      <c r="D302" s="35">
        <v>0.31527777777777777</v>
      </c>
      <c r="E302" s="35">
        <v>0.44930555555555557</v>
      </c>
      <c r="F302" s="35">
        <v>0.47083333333333338</v>
      </c>
      <c r="G302" s="30">
        <f t="shared" si="126"/>
        <v>2.1527777777777812E-2</v>
      </c>
      <c r="H302" s="13">
        <f t="shared" si="121"/>
        <v>7.6388888888889242E-3</v>
      </c>
      <c r="I302" s="36"/>
      <c r="J302" s="36"/>
      <c r="K302" s="35">
        <f t="shared" si="127"/>
        <v>0</v>
      </c>
      <c r="L302" s="32">
        <v>0.5805555555555556</v>
      </c>
      <c r="M302" s="32">
        <f t="shared" si="124"/>
        <v>0.25763888888888892</v>
      </c>
      <c r="N302" s="23">
        <f t="shared" si="133"/>
        <v>-6.1111111111111116E-2</v>
      </c>
      <c r="O302" s="33">
        <f t="shared" si="128"/>
        <v>-1.3361111111111112</v>
      </c>
      <c r="P302" s="67">
        <f>P301+N302</f>
        <v>-1.3361111111111112</v>
      </c>
      <c r="Q302" s="72">
        <f t="shared" ref="Q302" si="134">SUM(M298:M302)</f>
        <v>0.25763888888888892</v>
      </c>
      <c r="R302" s="72">
        <f t="shared" ref="R302" si="135">Q302/5</f>
        <v>5.1527777777777783E-2</v>
      </c>
    </row>
    <row r="303" spans="2:18" x14ac:dyDescent="0.25">
      <c r="B303" s="139">
        <v>44121</v>
      </c>
      <c r="C303" s="48" t="s">
        <v>21</v>
      </c>
      <c r="D303" s="43"/>
      <c r="E303" s="43"/>
      <c r="F303" s="43"/>
      <c r="G303" s="34"/>
      <c r="H303" s="25"/>
      <c r="I303" s="28"/>
      <c r="J303" s="28"/>
      <c r="K303" s="43"/>
      <c r="L303" s="27"/>
      <c r="M303" s="27"/>
      <c r="N303" s="44"/>
      <c r="O303" s="26"/>
      <c r="P303" s="65"/>
      <c r="Q303" s="71"/>
      <c r="R303" s="71"/>
    </row>
    <row r="304" spans="2:18" x14ac:dyDescent="0.25">
      <c r="B304" s="139">
        <v>44122</v>
      </c>
      <c r="C304" s="48" t="s">
        <v>22</v>
      </c>
      <c r="D304" s="43"/>
      <c r="E304" s="43"/>
      <c r="F304" s="43"/>
      <c r="G304" s="34"/>
      <c r="H304" s="28"/>
      <c r="I304" s="28"/>
      <c r="J304" s="28"/>
      <c r="K304" s="43"/>
      <c r="L304" s="27"/>
      <c r="M304" s="27"/>
      <c r="N304" s="44"/>
      <c r="O304" s="26"/>
      <c r="P304" s="65"/>
      <c r="Q304" s="71"/>
      <c r="R304" s="71"/>
    </row>
    <row r="305" spans="2:18" x14ac:dyDescent="0.25">
      <c r="B305" s="139">
        <v>44123</v>
      </c>
      <c r="C305" s="47" t="s">
        <v>6</v>
      </c>
      <c r="D305" s="35">
        <v>0.32083333333333336</v>
      </c>
      <c r="E305" s="35">
        <v>0.44166666666666665</v>
      </c>
      <c r="F305" s="35">
        <v>0.45833333333333331</v>
      </c>
      <c r="G305" s="30">
        <f t="shared" si="126"/>
        <v>1.6666666666666663E-2</v>
      </c>
      <c r="H305" s="13">
        <f t="shared" si="121"/>
        <v>2.7777777777777748E-3</v>
      </c>
      <c r="I305" s="36"/>
      <c r="J305" s="36"/>
      <c r="K305" s="35">
        <f t="shared" si="127"/>
        <v>0</v>
      </c>
      <c r="L305" s="32">
        <v>0.64930555555555558</v>
      </c>
      <c r="M305" s="32">
        <f t="shared" si="124"/>
        <v>0.32569444444444445</v>
      </c>
      <c r="N305" s="23">
        <f t="shared" si="133"/>
        <v>6.9444444444444198E-3</v>
      </c>
      <c r="O305" s="33">
        <f t="shared" si="128"/>
        <v>6.9444444444444198E-3</v>
      </c>
      <c r="P305" s="67">
        <f>P304+N305</f>
        <v>6.9444444444444198E-3</v>
      </c>
      <c r="Q305" s="71"/>
      <c r="R305" s="71"/>
    </row>
    <row r="306" spans="2:18" x14ac:dyDescent="0.25">
      <c r="B306" s="139">
        <v>44124</v>
      </c>
      <c r="C306" s="47" t="s">
        <v>7</v>
      </c>
      <c r="D306" s="35">
        <v>0.30624999999999997</v>
      </c>
      <c r="E306" s="35"/>
      <c r="F306" s="35"/>
      <c r="G306" s="30">
        <f t="shared" si="126"/>
        <v>0</v>
      </c>
      <c r="H306" s="13" t="b">
        <f t="shared" si="121"/>
        <v>0</v>
      </c>
      <c r="I306" s="36"/>
      <c r="J306" s="36"/>
      <c r="K306" s="35">
        <f t="shared" si="127"/>
        <v>0</v>
      </c>
      <c r="L306" s="32">
        <v>0.64513888888888882</v>
      </c>
      <c r="M306" s="32">
        <f t="shared" si="124"/>
        <v>0.33888888888888885</v>
      </c>
      <c r="N306" s="23">
        <f t="shared" si="133"/>
        <v>2.0138888888888817E-2</v>
      </c>
      <c r="O306" s="33">
        <f t="shared" si="128"/>
        <v>2.7083333333333237E-2</v>
      </c>
      <c r="P306" s="67">
        <f>P305+N306</f>
        <v>2.7083333333333237E-2</v>
      </c>
      <c r="Q306" s="71"/>
      <c r="R306" s="71"/>
    </row>
    <row r="307" spans="2:18" x14ac:dyDescent="0.25">
      <c r="B307" s="139">
        <v>44125</v>
      </c>
      <c r="C307" s="47" t="s">
        <v>23</v>
      </c>
      <c r="D307" s="35">
        <v>0.3125</v>
      </c>
      <c r="E307" s="35"/>
      <c r="F307" s="35"/>
      <c r="G307" s="30">
        <f t="shared" si="126"/>
        <v>0</v>
      </c>
      <c r="H307" s="13" t="b">
        <f t="shared" si="121"/>
        <v>0</v>
      </c>
      <c r="I307" s="36"/>
      <c r="J307" s="36"/>
      <c r="K307" s="35">
        <f t="shared" si="127"/>
        <v>0</v>
      </c>
      <c r="L307" s="32">
        <v>0.64722222222222225</v>
      </c>
      <c r="M307" s="32">
        <f t="shared" si="124"/>
        <v>0.33472222222222225</v>
      </c>
      <c r="N307" s="23">
        <f t="shared" si="133"/>
        <v>1.5972222222222221E-2</v>
      </c>
      <c r="O307" s="33">
        <f t="shared" si="128"/>
        <v>4.3055555555555458E-2</v>
      </c>
      <c r="P307" s="67">
        <f>P306+N307</f>
        <v>4.3055555555555458E-2</v>
      </c>
      <c r="Q307" s="71"/>
      <c r="R307" s="71"/>
    </row>
    <row r="308" spans="2:18" x14ac:dyDescent="0.25">
      <c r="B308" s="139">
        <v>44126</v>
      </c>
      <c r="C308" s="47" t="s">
        <v>8</v>
      </c>
      <c r="D308" s="35">
        <v>0.30833333333333335</v>
      </c>
      <c r="E308" s="35">
        <v>0.44097222222222227</v>
      </c>
      <c r="F308" s="35">
        <v>0.46180555555555558</v>
      </c>
      <c r="G308" s="30">
        <f t="shared" si="126"/>
        <v>2.0833333333333315E-2</v>
      </c>
      <c r="H308" s="13">
        <f t="shared" si="121"/>
        <v>6.9444444444444267E-3</v>
      </c>
      <c r="I308" s="36"/>
      <c r="J308" s="36"/>
      <c r="K308" s="35">
        <f t="shared" si="127"/>
        <v>0</v>
      </c>
      <c r="L308" s="32">
        <v>0.63958333333333328</v>
      </c>
      <c r="M308" s="32">
        <f t="shared" si="124"/>
        <v>0.32430555555555551</v>
      </c>
      <c r="N308" s="23">
        <f t="shared" si="133"/>
        <v>5.5555555555554803E-3</v>
      </c>
      <c r="O308" s="33">
        <f t="shared" si="128"/>
        <v>4.8611111111110938E-2</v>
      </c>
      <c r="P308" s="67">
        <f>P307+N308</f>
        <v>4.8611111111110938E-2</v>
      </c>
      <c r="Q308" s="71"/>
      <c r="R308" s="71"/>
    </row>
    <row r="309" spans="2:18" x14ac:dyDescent="0.25">
      <c r="B309" s="139">
        <v>44127</v>
      </c>
      <c r="C309" s="47" t="s">
        <v>9</v>
      </c>
      <c r="D309" s="35">
        <v>0.30069444444444443</v>
      </c>
      <c r="E309" s="35">
        <v>0.43402777777777773</v>
      </c>
      <c r="F309" s="35">
        <v>0.4513888888888889</v>
      </c>
      <c r="G309" s="30">
        <f t="shared" si="126"/>
        <v>1.736111111111116E-2</v>
      </c>
      <c r="H309" s="13">
        <f t="shared" si="121"/>
        <v>3.4722222222222723E-3</v>
      </c>
      <c r="I309" s="36"/>
      <c r="J309" s="36"/>
      <c r="K309" s="35">
        <f t="shared" si="127"/>
        <v>0</v>
      </c>
      <c r="L309" s="32">
        <v>0.57638888888888895</v>
      </c>
      <c r="M309" s="32">
        <f t="shared" si="124"/>
        <v>0.27222222222222225</v>
      </c>
      <c r="N309" s="23">
        <f t="shared" si="133"/>
        <v>-4.6527777777777779E-2</v>
      </c>
      <c r="O309" s="33">
        <f t="shared" si="128"/>
        <v>2.0833333333331594E-3</v>
      </c>
      <c r="P309" s="67">
        <f>P308+N309</f>
        <v>2.0833333333331594E-3</v>
      </c>
      <c r="Q309" s="72">
        <f t="shared" ref="Q309" si="136">SUM(M305:M309)</f>
        <v>1.5958333333333332</v>
      </c>
      <c r="R309" s="72">
        <f t="shared" ref="R309" si="137">Q309/5</f>
        <v>0.31916666666666665</v>
      </c>
    </row>
    <row r="310" spans="2:18" x14ac:dyDescent="0.25">
      <c r="B310" s="139">
        <v>44128</v>
      </c>
      <c r="C310" s="48" t="s">
        <v>21</v>
      </c>
      <c r="D310" s="43"/>
      <c r="E310" s="43"/>
      <c r="F310" s="43"/>
      <c r="G310" s="34"/>
      <c r="H310" s="25"/>
      <c r="I310" s="28"/>
      <c r="J310" s="28"/>
      <c r="K310" s="43"/>
      <c r="L310" s="27"/>
      <c r="M310" s="27"/>
      <c r="N310" s="44"/>
      <c r="O310" s="26"/>
      <c r="P310" s="65"/>
      <c r="Q310" s="71"/>
      <c r="R310" s="71"/>
    </row>
    <row r="311" spans="2:18" x14ac:dyDescent="0.25">
      <c r="B311" s="139">
        <v>44129</v>
      </c>
      <c r="C311" s="48" t="s">
        <v>22</v>
      </c>
      <c r="D311" s="43"/>
      <c r="E311" s="43"/>
      <c r="F311" s="43"/>
      <c r="G311" s="34"/>
      <c r="H311" s="28"/>
      <c r="I311" s="28"/>
      <c r="J311" s="28"/>
      <c r="K311" s="43"/>
      <c r="L311" s="27"/>
      <c r="M311" s="27"/>
      <c r="N311" s="44"/>
      <c r="O311" s="26"/>
      <c r="P311" s="65"/>
      <c r="Q311" s="71"/>
      <c r="R311" s="71"/>
    </row>
    <row r="312" spans="2:18" x14ac:dyDescent="0.25">
      <c r="B312" s="139">
        <v>44130</v>
      </c>
      <c r="C312" s="47" t="s">
        <v>6</v>
      </c>
      <c r="D312" s="35">
        <v>0.31041666666666667</v>
      </c>
      <c r="E312" s="35"/>
      <c r="F312" s="35"/>
      <c r="G312" s="30">
        <f t="shared" si="126"/>
        <v>0</v>
      </c>
      <c r="H312" s="13" t="b">
        <f t="shared" si="121"/>
        <v>0</v>
      </c>
      <c r="I312" s="35"/>
      <c r="J312" s="36"/>
      <c r="K312" s="35">
        <f t="shared" si="127"/>
        <v>0</v>
      </c>
      <c r="L312" s="32">
        <v>0.64374999999999993</v>
      </c>
      <c r="M312" s="32">
        <f t="shared" si="124"/>
        <v>0.33333333333333326</v>
      </c>
      <c r="N312" s="23">
        <f t="shared" si="133"/>
        <v>1.4583333333333226E-2</v>
      </c>
      <c r="O312" s="33">
        <f t="shared" si="128"/>
        <v>1.4583333333333226E-2</v>
      </c>
      <c r="P312" s="67">
        <f>P311+N312</f>
        <v>1.4583333333333226E-2</v>
      </c>
      <c r="Q312" s="71"/>
      <c r="R312" s="71"/>
    </row>
    <row r="313" spans="2:18" x14ac:dyDescent="0.25">
      <c r="B313" s="139">
        <v>44131</v>
      </c>
      <c r="C313" s="47" t="s">
        <v>7</v>
      </c>
      <c r="D313" s="35">
        <v>0.31527777777777777</v>
      </c>
      <c r="E313" s="35"/>
      <c r="F313" s="35"/>
      <c r="G313" s="30">
        <f t="shared" ref="G313:G316" si="138">F313-E313</f>
        <v>0</v>
      </c>
      <c r="H313" s="13" t="b">
        <f t="shared" si="121"/>
        <v>0</v>
      </c>
      <c r="I313" s="36"/>
      <c r="J313" s="36"/>
      <c r="K313" s="35">
        <f t="shared" ref="K313:K316" si="139">J313-I313</f>
        <v>0</v>
      </c>
      <c r="L313" s="32">
        <v>0.65069444444444446</v>
      </c>
      <c r="M313" s="32">
        <f t="shared" ref="M313:M316" si="140">(L313-D313)-H313-K313</f>
        <v>0.3354166666666667</v>
      </c>
      <c r="N313" s="23">
        <f t="shared" si="133"/>
        <v>1.6666666666666663E-2</v>
      </c>
      <c r="O313" s="33">
        <f t="shared" ref="O313:O315" si="141">O312+N313</f>
        <v>3.1249999999999889E-2</v>
      </c>
      <c r="P313" s="67">
        <f>P312+N313</f>
        <v>3.1249999999999889E-2</v>
      </c>
      <c r="Q313" s="71"/>
      <c r="R313" s="71"/>
    </row>
    <row r="314" spans="2:18" x14ac:dyDescent="0.25">
      <c r="B314" s="139">
        <v>44132</v>
      </c>
      <c r="C314" s="47" t="s">
        <v>23</v>
      </c>
      <c r="D314" s="35">
        <v>0.31180555555555556</v>
      </c>
      <c r="E314" s="35"/>
      <c r="F314" s="35"/>
      <c r="G314" s="30">
        <f t="shared" si="138"/>
        <v>0</v>
      </c>
      <c r="H314" s="13" t="b">
        <f t="shared" si="121"/>
        <v>0</v>
      </c>
      <c r="I314" s="36"/>
      <c r="J314" s="36"/>
      <c r="K314" s="35">
        <f t="shared" si="139"/>
        <v>0</v>
      </c>
      <c r="L314" s="32">
        <v>0.6479166666666667</v>
      </c>
      <c r="M314" s="32">
        <f t="shared" si="140"/>
        <v>0.33611111111111114</v>
      </c>
      <c r="N314" s="23">
        <f t="shared" si="133"/>
        <v>1.7361111111111105E-2</v>
      </c>
      <c r="O314" s="33">
        <f>O313+N314</f>
        <v>4.8611111111110994E-2</v>
      </c>
      <c r="P314" s="67">
        <f>P313+N314</f>
        <v>4.8611111111110994E-2</v>
      </c>
      <c r="Q314" s="71"/>
      <c r="R314" s="71"/>
    </row>
    <row r="315" spans="2:18" x14ac:dyDescent="0.25">
      <c r="B315" s="139">
        <v>44133</v>
      </c>
      <c r="C315" s="47" t="s">
        <v>8</v>
      </c>
      <c r="D315" s="35">
        <v>0.3125</v>
      </c>
      <c r="E315" s="35">
        <v>0.43888888888888888</v>
      </c>
      <c r="F315" s="35">
        <v>0.45347222222222222</v>
      </c>
      <c r="G315" s="30">
        <f t="shared" si="138"/>
        <v>1.4583333333333337E-2</v>
      </c>
      <c r="H315" s="13">
        <f t="shared" si="121"/>
        <v>6.9444444444444892E-4</v>
      </c>
      <c r="I315" s="36"/>
      <c r="J315" s="36"/>
      <c r="K315" s="35">
        <f t="shared" si="139"/>
        <v>0</v>
      </c>
      <c r="L315" s="32">
        <v>0.66388888888888886</v>
      </c>
      <c r="M315" s="32">
        <f t="shared" si="140"/>
        <v>0.35069444444444442</v>
      </c>
      <c r="N315" s="23">
        <f t="shared" si="133"/>
        <v>3.1944444444444386E-2</v>
      </c>
      <c r="O315" s="33">
        <f t="shared" si="141"/>
        <v>8.055555555555538E-2</v>
      </c>
      <c r="P315" s="67">
        <f>P314+N315</f>
        <v>8.055555555555538E-2</v>
      </c>
      <c r="Q315" s="71"/>
      <c r="R315" s="71"/>
    </row>
    <row r="316" spans="2:18" x14ac:dyDescent="0.25">
      <c r="B316" s="139">
        <v>44134</v>
      </c>
      <c r="C316" s="47" t="s">
        <v>9</v>
      </c>
      <c r="D316" s="35">
        <v>0.3125</v>
      </c>
      <c r="E316" s="35"/>
      <c r="F316" s="35"/>
      <c r="G316" s="30">
        <f t="shared" si="138"/>
        <v>0</v>
      </c>
      <c r="H316" s="13" t="b">
        <f t="shared" si="121"/>
        <v>0</v>
      </c>
      <c r="I316" s="36"/>
      <c r="J316" s="36"/>
      <c r="K316" s="35">
        <f t="shared" si="139"/>
        <v>0</v>
      </c>
      <c r="L316" s="32">
        <v>0.58333333333333337</v>
      </c>
      <c r="M316" s="32">
        <f t="shared" si="140"/>
        <v>0.27083333333333337</v>
      </c>
      <c r="N316" s="23">
        <f t="shared" si="133"/>
        <v>-4.7916666666666663E-2</v>
      </c>
      <c r="O316" s="33">
        <f>O315+N316</f>
        <v>3.2638888888888717E-2</v>
      </c>
      <c r="P316" s="67">
        <f>P315+N316</f>
        <v>3.2638888888888717E-2</v>
      </c>
      <c r="Q316" s="72">
        <f t="shared" ref="Q316" si="142">SUM(M312:M316)</f>
        <v>1.6263888888888887</v>
      </c>
      <c r="R316" s="72">
        <f t="shared" ref="R316" si="143">Q316/5</f>
        <v>0.32527777777777772</v>
      </c>
    </row>
    <row r="317" spans="2:18" x14ac:dyDescent="0.25">
      <c r="B317" s="139">
        <v>44135</v>
      </c>
      <c r="C317" s="48" t="s">
        <v>21</v>
      </c>
      <c r="D317" s="43"/>
      <c r="E317" s="43"/>
      <c r="F317" s="43"/>
      <c r="G317" s="34"/>
      <c r="H317" s="25"/>
      <c r="I317" s="28"/>
      <c r="J317" s="28"/>
      <c r="K317" s="43"/>
      <c r="L317" s="27"/>
      <c r="M317" s="44">
        <f>SUM(M312:M316)</f>
        <v>1.6263888888888887</v>
      </c>
      <c r="N317" s="44">
        <f t="shared" si="133"/>
        <v>1.3076388888888886</v>
      </c>
      <c r="O317" s="26"/>
      <c r="P317" s="65"/>
      <c r="Q317" s="71"/>
      <c r="R317" s="71"/>
    </row>
    <row r="318" spans="2:18" x14ac:dyDescent="0.25">
      <c r="B318" s="139">
        <v>44136</v>
      </c>
      <c r="C318" s="48" t="s">
        <v>22</v>
      </c>
      <c r="D318" s="43"/>
      <c r="E318" s="43"/>
      <c r="F318" s="43"/>
      <c r="G318" s="34"/>
      <c r="H318" s="28"/>
      <c r="I318" s="28"/>
      <c r="J318" s="28"/>
      <c r="K318" s="43"/>
      <c r="L318" s="27"/>
      <c r="M318" s="27"/>
      <c r="N318" s="44"/>
      <c r="O318" s="26"/>
      <c r="P318" s="65"/>
      <c r="Q318" s="71"/>
      <c r="R318" s="71"/>
    </row>
    <row r="319" spans="2:18" x14ac:dyDescent="0.25">
      <c r="B319" s="139">
        <v>44137</v>
      </c>
      <c r="C319" s="47" t="s">
        <v>6</v>
      </c>
      <c r="D319" s="35">
        <v>0.33958333333333335</v>
      </c>
      <c r="E319" s="35"/>
      <c r="F319" s="35"/>
      <c r="G319" s="30">
        <f t="shared" ref="G319:G343" si="144">F319-E319</f>
        <v>0</v>
      </c>
      <c r="H319" s="13" t="b">
        <f t="shared" si="121"/>
        <v>0</v>
      </c>
      <c r="I319" s="35">
        <v>0.63055555555555554</v>
      </c>
      <c r="J319" s="35">
        <v>0.69166666666666676</v>
      </c>
      <c r="K319" s="35">
        <f t="shared" ref="K319:K343" si="145">J319-I319</f>
        <v>6.1111111111111227E-2</v>
      </c>
      <c r="L319" s="32">
        <v>0.75138888888888899</v>
      </c>
      <c r="M319" s="32">
        <f>(L319-D319)-H319-K319</f>
        <v>0.35069444444444442</v>
      </c>
      <c r="N319" s="23">
        <f t="shared" si="133"/>
        <v>3.1944444444444386E-2</v>
      </c>
      <c r="O319" s="33">
        <f t="shared" ref="O319:O343" si="146">O318+N319</f>
        <v>3.1944444444444386E-2</v>
      </c>
      <c r="P319" s="67">
        <f>P318+N319</f>
        <v>3.1944444444444386E-2</v>
      </c>
      <c r="Q319" s="71"/>
      <c r="R319" s="71"/>
    </row>
    <row r="320" spans="2:18" x14ac:dyDescent="0.25">
      <c r="B320" s="139">
        <v>44138</v>
      </c>
      <c r="C320" s="47" t="s">
        <v>7</v>
      </c>
      <c r="D320" s="35">
        <v>0.31944444444444448</v>
      </c>
      <c r="E320" s="35">
        <v>0.4513888888888889</v>
      </c>
      <c r="F320" s="35">
        <v>0.46736111111111112</v>
      </c>
      <c r="G320" s="30">
        <f t="shared" si="144"/>
        <v>1.5972222222222221E-2</v>
      </c>
      <c r="H320" s="13">
        <f t="shared" si="121"/>
        <v>2.0833333333333329E-3</v>
      </c>
      <c r="I320" s="35">
        <v>0.62569444444444444</v>
      </c>
      <c r="J320" s="35">
        <v>0.69513888888888886</v>
      </c>
      <c r="K320" s="35">
        <f t="shared" si="145"/>
        <v>6.944444444444442E-2</v>
      </c>
      <c r="L320" s="32">
        <v>0.75208333333333333</v>
      </c>
      <c r="M320" s="32">
        <f t="shared" ref="M320:M343" si="147">(L320-D320)-H320-K320</f>
        <v>0.3611111111111111</v>
      </c>
      <c r="N320" s="23">
        <f t="shared" si="133"/>
        <v>4.2361111111111072E-2</v>
      </c>
      <c r="O320" s="33">
        <f t="shared" si="146"/>
        <v>7.4305555555555458E-2</v>
      </c>
      <c r="P320" s="67">
        <f>P319+N320</f>
        <v>7.4305555555555458E-2</v>
      </c>
      <c r="Q320" s="71"/>
      <c r="R320" s="71"/>
    </row>
    <row r="321" spans="2:18" x14ac:dyDescent="0.25">
      <c r="B321" s="139">
        <v>44139</v>
      </c>
      <c r="C321" s="47" t="s">
        <v>23</v>
      </c>
      <c r="D321" s="35">
        <v>0.3611111111111111</v>
      </c>
      <c r="E321" s="35">
        <v>0.51250000000000007</v>
      </c>
      <c r="F321" s="35">
        <v>0.52847222222222223</v>
      </c>
      <c r="G321" s="30">
        <f t="shared" si="144"/>
        <v>1.5972222222222165E-2</v>
      </c>
      <c r="H321" s="13">
        <f t="shared" si="121"/>
        <v>2.0833333333332774E-3</v>
      </c>
      <c r="I321" s="35">
        <v>0.62847222222222221</v>
      </c>
      <c r="J321" s="35">
        <v>0.6875</v>
      </c>
      <c r="K321" s="35">
        <f t="shared" si="145"/>
        <v>5.902777777777779E-2</v>
      </c>
      <c r="L321" s="32">
        <v>0.75763888888888886</v>
      </c>
      <c r="M321" s="32">
        <f t="shared" si="147"/>
        <v>0.3354166666666667</v>
      </c>
      <c r="N321" s="23">
        <f t="shared" si="133"/>
        <v>1.6666666666666663E-2</v>
      </c>
      <c r="O321" s="33">
        <f t="shared" si="146"/>
        <v>9.0972222222222121E-2</v>
      </c>
      <c r="P321" s="67">
        <f>P320+N321</f>
        <v>9.0972222222222121E-2</v>
      </c>
      <c r="Q321" s="71"/>
      <c r="R321" s="71"/>
    </row>
    <row r="322" spans="2:18" x14ac:dyDescent="0.25">
      <c r="B322" s="139">
        <v>44140</v>
      </c>
      <c r="C322" s="47" t="s">
        <v>8</v>
      </c>
      <c r="D322" s="35">
        <v>0.35833333333333334</v>
      </c>
      <c r="E322" s="35"/>
      <c r="F322" s="35"/>
      <c r="G322" s="30">
        <f t="shared" si="144"/>
        <v>0</v>
      </c>
      <c r="H322" s="13" t="b">
        <f t="shared" si="121"/>
        <v>0</v>
      </c>
      <c r="I322" s="35">
        <v>0.62638888888888888</v>
      </c>
      <c r="J322" s="35">
        <v>0.70416666666666661</v>
      </c>
      <c r="K322" s="35">
        <f t="shared" si="145"/>
        <v>7.7777777777777724E-2</v>
      </c>
      <c r="L322" s="32">
        <v>0.75138888888888899</v>
      </c>
      <c r="M322" s="32">
        <f t="shared" si="147"/>
        <v>0.31527777777777793</v>
      </c>
      <c r="N322" s="23">
        <f t="shared" si="133"/>
        <v>-3.4722222222220989E-3</v>
      </c>
      <c r="O322" s="33">
        <f t="shared" si="146"/>
        <v>8.7500000000000022E-2</v>
      </c>
      <c r="P322" s="67">
        <f>P321+N322</f>
        <v>8.7500000000000022E-2</v>
      </c>
      <c r="Q322" s="71"/>
      <c r="R322" s="71"/>
    </row>
    <row r="323" spans="2:18" x14ac:dyDescent="0.25">
      <c r="B323" s="139">
        <v>44141</v>
      </c>
      <c r="C323" s="47" t="s">
        <v>9</v>
      </c>
      <c r="D323" s="35">
        <v>0.3666666666666667</v>
      </c>
      <c r="E323" s="35"/>
      <c r="F323" s="35"/>
      <c r="G323" s="30">
        <f t="shared" si="144"/>
        <v>0</v>
      </c>
      <c r="H323" s="13" t="b">
        <f t="shared" si="121"/>
        <v>0</v>
      </c>
      <c r="I323" s="36"/>
      <c r="J323" s="35"/>
      <c r="K323" s="35">
        <f t="shared" si="145"/>
        <v>0</v>
      </c>
      <c r="L323" s="32">
        <v>0.59930555555555554</v>
      </c>
      <c r="M323" s="32">
        <f t="shared" si="147"/>
        <v>0.23263888888888884</v>
      </c>
      <c r="N323" s="23">
        <f t="shared" si="133"/>
        <v>-8.6111111111111194E-2</v>
      </c>
      <c r="O323" s="33">
        <f t="shared" si="146"/>
        <v>1.3888888888888284E-3</v>
      </c>
      <c r="P323" s="67">
        <f>P322+N323</f>
        <v>1.3888888888888284E-3</v>
      </c>
      <c r="Q323" s="72">
        <f t="shared" ref="Q323" si="148">SUM(M319:M323)</f>
        <v>1.5951388888888891</v>
      </c>
      <c r="R323" s="72">
        <f t="shared" ref="R323" si="149">Q323/5</f>
        <v>0.3190277777777778</v>
      </c>
    </row>
    <row r="324" spans="2:18" x14ac:dyDescent="0.25">
      <c r="B324" s="139">
        <v>44142</v>
      </c>
      <c r="C324" s="48" t="s">
        <v>21</v>
      </c>
      <c r="D324" s="43"/>
      <c r="E324" s="43"/>
      <c r="F324" s="43"/>
      <c r="G324" s="34"/>
      <c r="H324" s="25"/>
      <c r="I324" s="28"/>
      <c r="J324" s="28"/>
      <c r="K324" s="43"/>
      <c r="L324" s="27"/>
      <c r="M324" s="27"/>
      <c r="N324" s="44"/>
      <c r="O324" s="26"/>
      <c r="P324" s="65"/>
      <c r="Q324" s="71"/>
      <c r="R324" s="71"/>
    </row>
    <row r="325" spans="2:18" x14ac:dyDescent="0.25">
      <c r="B325" s="139">
        <v>44143</v>
      </c>
      <c r="C325" s="48" t="s">
        <v>22</v>
      </c>
      <c r="D325" s="43"/>
      <c r="E325" s="43"/>
      <c r="F325" s="43"/>
      <c r="G325" s="34"/>
      <c r="H325" s="28"/>
      <c r="I325" s="28"/>
      <c r="J325" s="28"/>
      <c r="K325" s="43"/>
      <c r="L325" s="27"/>
      <c r="M325" s="27"/>
      <c r="N325" s="44"/>
      <c r="O325" s="26"/>
      <c r="P325" s="65"/>
      <c r="Q325" s="71"/>
      <c r="R325" s="71"/>
    </row>
    <row r="326" spans="2:18" x14ac:dyDescent="0.25">
      <c r="B326" s="139">
        <v>44144</v>
      </c>
      <c r="C326" s="47" t="s">
        <v>6</v>
      </c>
      <c r="D326" s="35">
        <v>0.375</v>
      </c>
      <c r="E326" s="35"/>
      <c r="F326" s="35"/>
      <c r="G326" s="30">
        <f t="shared" si="144"/>
        <v>0</v>
      </c>
      <c r="H326" s="13" t="b">
        <f t="shared" si="121"/>
        <v>0</v>
      </c>
      <c r="I326" s="35">
        <v>0.62847222222222221</v>
      </c>
      <c r="J326" s="35">
        <v>0.6972222222222223</v>
      </c>
      <c r="K326" s="35">
        <f t="shared" si="145"/>
        <v>6.8750000000000089E-2</v>
      </c>
      <c r="L326" s="32">
        <v>0.75208333333333333</v>
      </c>
      <c r="M326" s="32">
        <f t="shared" si="147"/>
        <v>0.30833333333333324</v>
      </c>
      <c r="N326" s="23">
        <f t="shared" si="133"/>
        <v>-1.0416666666666796E-2</v>
      </c>
      <c r="O326" s="33">
        <f t="shared" si="146"/>
        <v>-1.0416666666666796E-2</v>
      </c>
      <c r="P326" s="67">
        <f>P325+N326</f>
        <v>-1.0416666666666796E-2</v>
      </c>
      <c r="Q326" s="71"/>
      <c r="R326" s="71"/>
    </row>
    <row r="327" spans="2:18" x14ac:dyDescent="0.25">
      <c r="B327" s="139">
        <v>44145</v>
      </c>
      <c r="C327" s="47" t="s">
        <v>7</v>
      </c>
      <c r="D327" s="35">
        <v>0.35486111111111113</v>
      </c>
      <c r="E327" s="35">
        <v>0.45555555555555555</v>
      </c>
      <c r="F327" s="35">
        <v>0.4694444444444445</v>
      </c>
      <c r="G327" s="30">
        <f t="shared" si="144"/>
        <v>1.3888888888888951E-2</v>
      </c>
      <c r="H327" s="13">
        <f t="shared" si="121"/>
        <v>6.2450045135165055E-17</v>
      </c>
      <c r="I327" s="35">
        <v>0.63263888888888886</v>
      </c>
      <c r="J327" s="35">
        <v>0.68819444444444444</v>
      </c>
      <c r="K327" s="35">
        <f t="shared" si="145"/>
        <v>5.555555555555558E-2</v>
      </c>
      <c r="L327" s="32">
        <v>0.75138888888888899</v>
      </c>
      <c r="M327" s="32">
        <f t="shared" si="147"/>
        <v>0.34097222222222223</v>
      </c>
      <c r="N327" s="23">
        <f t="shared" si="133"/>
        <v>2.2222222222222199E-2</v>
      </c>
      <c r="O327" s="33">
        <f t="shared" si="146"/>
        <v>1.1805555555555403E-2</v>
      </c>
      <c r="P327" s="67">
        <f>P326+N327</f>
        <v>1.1805555555555403E-2</v>
      </c>
      <c r="Q327" s="71"/>
      <c r="R327" s="71"/>
    </row>
    <row r="328" spans="2:18" x14ac:dyDescent="0.25">
      <c r="B328" s="139">
        <v>44146</v>
      </c>
      <c r="C328" s="47" t="s">
        <v>23</v>
      </c>
      <c r="D328" s="35">
        <v>0.34375</v>
      </c>
      <c r="E328" s="35"/>
      <c r="F328" s="35"/>
      <c r="G328" s="30">
        <f t="shared" si="144"/>
        <v>0</v>
      </c>
      <c r="H328" s="13" t="b">
        <f t="shared" si="121"/>
        <v>0</v>
      </c>
      <c r="I328" s="35">
        <v>0.625</v>
      </c>
      <c r="J328" s="35">
        <v>0.69791666666666663</v>
      </c>
      <c r="K328" s="35">
        <f t="shared" si="145"/>
        <v>7.291666666666663E-2</v>
      </c>
      <c r="L328" s="32">
        <v>0.75</v>
      </c>
      <c r="M328" s="32">
        <f t="shared" si="147"/>
        <v>0.33333333333333337</v>
      </c>
      <c r="N328" s="23">
        <f t="shared" si="133"/>
        <v>1.4583333333333337E-2</v>
      </c>
      <c r="O328" s="33">
        <f t="shared" si="146"/>
        <v>2.638888888888874E-2</v>
      </c>
      <c r="P328" s="67">
        <f>P327+N328</f>
        <v>2.638888888888874E-2</v>
      </c>
      <c r="Q328" s="71"/>
      <c r="R328" s="71"/>
    </row>
    <row r="329" spans="2:18" x14ac:dyDescent="0.25">
      <c r="B329" s="139">
        <v>44147</v>
      </c>
      <c r="C329" s="47" t="s">
        <v>8</v>
      </c>
      <c r="D329" s="35">
        <v>0.35347222222222219</v>
      </c>
      <c r="E329" s="35">
        <v>0.43611111111111112</v>
      </c>
      <c r="F329" s="35">
        <v>0.45555555555555555</v>
      </c>
      <c r="G329" s="30">
        <f t="shared" si="144"/>
        <v>1.9444444444444431E-2</v>
      </c>
      <c r="H329" s="13">
        <f t="shared" si="121"/>
        <v>5.5555555555555428E-3</v>
      </c>
      <c r="I329" s="35">
        <v>0.62847222222222221</v>
      </c>
      <c r="J329" s="35">
        <v>0.67569444444444438</v>
      </c>
      <c r="K329" s="35">
        <f t="shared" si="145"/>
        <v>4.7222222222222165E-2</v>
      </c>
      <c r="L329" s="32">
        <v>0.75138888888888899</v>
      </c>
      <c r="M329" s="32">
        <f t="shared" si="147"/>
        <v>0.34513888888888911</v>
      </c>
      <c r="N329" s="23">
        <f t="shared" si="133"/>
        <v>2.6388888888889073E-2</v>
      </c>
      <c r="O329" s="33">
        <f t="shared" si="146"/>
        <v>5.2777777777777812E-2</v>
      </c>
      <c r="P329" s="67">
        <f>P328+N329</f>
        <v>5.2777777777777812E-2</v>
      </c>
      <c r="Q329" s="71"/>
      <c r="R329" s="71"/>
    </row>
    <row r="330" spans="2:18" x14ac:dyDescent="0.25">
      <c r="B330" s="139">
        <v>44148</v>
      </c>
      <c r="C330" s="47" t="s">
        <v>9</v>
      </c>
      <c r="D330" s="35">
        <v>0.33263888888888887</v>
      </c>
      <c r="E330" s="35">
        <v>0.43263888888888885</v>
      </c>
      <c r="F330" s="35">
        <v>0.4458333333333333</v>
      </c>
      <c r="G330" s="30">
        <f t="shared" si="144"/>
        <v>1.3194444444444453E-2</v>
      </c>
      <c r="H330" s="13" t="b">
        <f t="shared" si="121"/>
        <v>0</v>
      </c>
      <c r="I330" s="36"/>
      <c r="J330" s="36"/>
      <c r="K330" s="35">
        <f t="shared" si="145"/>
        <v>0</v>
      </c>
      <c r="L330" s="32">
        <v>0.5854166666666667</v>
      </c>
      <c r="M330" s="32">
        <f t="shared" si="147"/>
        <v>0.25277777777777782</v>
      </c>
      <c r="N330" s="23">
        <f t="shared" si="133"/>
        <v>-6.597222222222221E-2</v>
      </c>
      <c r="O330" s="33">
        <f t="shared" si="146"/>
        <v>-1.3194444444444398E-2</v>
      </c>
      <c r="P330" s="67">
        <f>P329+N330</f>
        <v>-1.3194444444444398E-2</v>
      </c>
      <c r="Q330" s="72">
        <f t="shared" ref="Q330" si="150">SUM(M326:M330)</f>
        <v>1.5805555555555557</v>
      </c>
      <c r="R330" s="72">
        <f t="shared" ref="R330" si="151">Q330/5</f>
        <v>0.31611111111111112</v>
      </c>
    </row>
    <row r="331" spans="2:18" x14ac:dyDescent="0.25">
      <c r="B331" s="139">
        <v>44149</v>
      </c>
      <c r="C331" s="48" t="s">
        <v>21</v>
      </c>
      <c r="D331" s="43"/>
      <c r="E331" s="43"/>
      <c r="F331" s="43"/>
      <c r="G331" s="34"/>
      <c r="H331" s="25"/>
      <c r="I331" s="28"/>
      <c r="J331" s="28"/>
      <c r="K331" s="43"/>
      <c r="L331" s="27"/>
      <c r="M331" s="27"/>
      <c r="N331" s="44"/>
      <c r="O331" s="26"/>
      <c r="P331" s="65"/>
      <c r="Q331" s="71"/>
      <c r="R331" s="71"/>
    </row>
    <row r="332" spans="2:18" x14ac:dyDescent="0.25">
      <c r="B332" s="139">
        <v>44150</v>
      </c>
      <c r="C332" s="48" t="s">
        <v>22</v>
      </c>
      <c r="D332" s="43"/>
      <c r="E332" s="43"/>
      <c r="F332" s="43"/>
      <c r="G332" s="34"/>
      <c r="H332" s="28"/>
      <c r="I332" s="28"/>
      <c r="J332" s="28"/>
      <c r="K332" s="43"/>
      <c r="L332" s="27"/>
      <c r="M332" s="27"/>
      <c r="N332" s="44"/>
      <c r="O332" s="26"/>
      <c r="P332" s="65"/>
      <c r="Q332" s="71"/>
      <c r="R332" s="71"/>
    </row>
    <row r="333" spans="2:18" x14ac:dyDescent="0.25">
      <c r="B333" s="139">
        <v>44151</v>
      </c>
      <c r="C333" s="47" t="s">
        <v>6</v>
      </c>
      <c r="D333" s="35">
        <v>0.30833333333333335</v>
      </c>
      <c r="E333" s="35">
        <v>0.43263888888888885</v>
      </c>
      <c r="F333" s="35">
        <v>0.44930555555555557</v>
      </c>
      <c r="G333" s="30">
        <f t="shared" si="144"/>
        <v>1.6666666666666718E-2</v>
      </c>
      <c r="H333" s="13">
        <f t="shared" si="121"/>
        <v>2.7777777777778304E-3</v>
      </c>
      <c r="I333" s="36"/>
      <c r="J333" s="36"/>
      <c r="K333" s="35">
        <f t="shared" si="145"/>
        <v>0</v>
      </c>
      <c r="L333" s="32">
        <v>0.6479166666666667</v>
      </c>
      <c r="M333" s="32">
        <f t="shared" si="147"/>
        <v>0.33680555555555552</v>
      </c>
      <c r="N333" s="23">
        <f t="shared" si="133"/>
        <v>1.8055555555555491E-2</v>
      </c>
      <c r="O333" s="33">
        <f t="shared" si="146"/>
        <v>1.8055555555555491E-2</v>
      </c>
      <c r="P333" s="67">
        <f>P332+N333</f>
        <v>1.8055555555555491E-2</v>
      </c>
      <c r="Q333" s="71"/>
      <c r="R333" s="71"/>
    </row>
    <row r="334" spans="2:18" x14ac:dyDescent="0.25">
      <c r="B334" s="139">
        <v>44152</v>
      </c>
      <c r="C334" s="47" t="s">
        <v>7</v>
      </c>
      <c r="D334" s="35">
        <v>0.31527777777777777</v>
      </c>
      <c r="E334" s="35">
        <v>0.43402777777777773</v>
      </c>
      <c r="F334" s="35">
        <v>0.45416666666666666</v>
      </c>
      <c r="G334" s="30">
        <f t="shared" si="144"/>
        <v>2.0138888888888928E-2</v>
      </c>
      <c r="H334" s="13">
        <f t="shared" si="121"/>
        <v>6.2500000000000402E-3</v>
      </c>
      <c r="I334" s="36"/>
      <c r="J334" s="36"/>
      <c r="K334" s="35">
        <f t="shared" si="145"/>
        <v>0</v>
      </c>
      <c r="L334" s="32">
        <v>0.64930555555555558</v>
      </c>
      <c r="M334" s="32">
        <f t="shared" si="147"/>
        <v>0.32777777777777778</v>
      </c>
      <c r="N334" s="23">
        <f t="shared" si="133"/>
        <v>9.0277777777777457E-3</v>
      </c>
      <c r="O334" s="33">
        <f t="shared" si="146"/>
        <v>2.7083333333333237E-2</v>
      </c>
      <c r="P334" s="67">
        <f>P333+N334</f>
        <v>2.7083333333333237E-2</v>
      </c>
      <c r="Q334" s="71"/>
      <c r="R334" s="71"/>
    </row>
    <row r="335" spans="2:18" x14ac:dyDescent="0.25">
      <c r="B335" s="139">
        <v>44153</v>
      </c>
      <c r="C335" s="47" t="s">
        <v>23</v>
      </c>
      <c r="D335" s="35">
        <v>0.30624999999999997</v>
      </c>
      <c r="E335" s="35">
        <v>0.44097222222222227</v>
      </c>
      <c r="F335" s="35">
        <v>0.4597222222222222</v>
      </c>
      <c r="G335" s="30">
        <f t="shared" si="144"/>
        <v>1.8749999999999933E-2</v>
      </c>
      <c r="H335" s="13">
        <f t="shared" si="121"/>
        <v>4.8611111111110453E-3</v>
      </c>
      <c r="I335" s="36"/>
      <c r="J335" s="36"/>
      <c r="K335" s="35">
        <f t="shared" si="145"/>
        <v>0</v>
      </c>
      <c r="L335" s="32">
        <v>0.64444444444444449</v>
      </c>
      <c r="M335" s="32">
        <f t="shared" si="147"/>
        <v>0.33333333333333348</v>
      </c>
      <c r="N335" s="23">
        <f t="shared" si="133"/>
        <v>1.4583333333333448E-2</v>
      </c>
      <c r="O335" s="33">
        <f t="shared" si="146"/>
        <v>4.1666666666666685E-2</v>
      </c>
      <c r="P335" s="67">
        <f>P334+N335</f>
        <v>4.1666666666666685E-2</v>
      </c>
      <c r="Q335" s="71"/>
      <c r="R335" s="71"/>
    </row>
    <row r="336" spans="2:18" x14ac:dyDescent="0.25">
      <c r="B336" s="139">
        <v>44154</v>
      </c>
      <c r="C336" s="47" t="s">
        <v>8</v>
      </c>
      <c r="D336" s="35">
        <v>0.31388888888888888</v>
      </c>
      <c r="E336" s="35">
        <v>0.5083333333333333</v>
      </c>
      <c r="F336" s="35">
        <v>0.54305555555555551</v>
      </c>
      <c r="G336" s="30">
        <f t="shared" si="144"/>
        <v>3.472222222222221E-2</v>
      </c>
      <c r="H336" s="13">
        <f t="shared" si="121"/>
        <v>2.0833333333333322E-2</v>
      </c>
      <c r="I336" s="36"/>
      <c r="J336" s="36"/>
      <c r="K336" s="35">
        <f t="shared" si="145"/>
        <v>0</v>
      </c>
      <c r="L336" s="32">
        <v>0.65347222222222223</v>
      </c>
      <c r="M336" s="32">
        <f t="shared" si="147"/>
        <v>0.31875000000000003</v>
      </c>
      <c r="N336" s="23">
        <f t="shared" si="133"/>
        <v>0</v>
      </c>
      <c r="O336" s="33">
        <f t="shared" si="146"/>
        <v>4.1666666666666685E-2</v>
      </c>
      <c r="P336" s="67">
        <f>P335+N336</f>
        <v>4.1666666666666685E-2</v>
      </c>
      <c r="Q336" s="71"/>
      <c r="R336" s="71"/>
    </row>
    <row r="337" spans="2:19" x14ac:dyDescent="0.25">
      <c r="B337" s="139">
        <v>44155</v>
      </c>
      <c r="C337" s="47" t="s">
        <v>9</v>
      </c>
      <c r="D337" s="184">
        <v>0.29166666666666669</v>
      </c>
      <c r="E337" s="184"/>
      <c r="F337" s="184"/>
      <c r="G337" s="185">
        <f t="shared" si="144"/>
        <v>0</v>
      </c>
      <c r="H337" s="186" t="b">
        <f t="shared" si="121"/>
        <v>0</v>
      </c>
      <c r="I337" s="187"/>
      <c r="J337" s="187"/>
      <c r="K337" s="184">
        <f t="shared" si="145"/>
        <v>0</v>
      </c>
      <c r="L337" s="188">
        <v>0.61041666666666672</v>
      </c>
      <c r="M337" s="188">
        <f t="shared" si="147"/>
        <v>0.31875000000000003</v>
      </c>
      <c r="N337" s="189">
        <f t="shared" si="133"/>
        <v>0</v>
      </c>
      <c r="O337" s="190">
        <f t="shared" si="146"/>
        <v>4.1666666666666685E-2</v>
      </c>
      <c r="P337" s="67">
        <f>P336+N337</f>
        <v>4.1666666666666685E-2</v>
      </c>
      <c r="Q337" s="72">
        <f t="shared" ref="Q337" si="152">SUM(M333:M337)</f>
        <v>1.635416666666667</v>
      </c>
      <c r="R337" s="72">
        <f t="shared" ref="R337" si="153">Q337/5</f>
        <v>0.32708333333333339</v>
      </c>
    </row>
    <row r="338" spans="2:19" x14ac:dyDescent="0.25">
      <c r="B338" s="139">
        <v>44156</v>
      </c>
      <c r="C338" s="48" t="s">
        <v>21</v>
      </c>
      <c r="D338" s="43"/>
      <c r="E338" s="43"/>
      <c r="F338" s="43"/>
      <c r="G338" s="34"/>
      <c r="H338" s="25"/>
      <c r="I338" s="28"/>
      <c r="J338" s="28"/>
      <c r="K338" s="43"/>
      <c r="L338" s="27"/>
      <c r="M338" s="27"/>
      <c r="N338" s="44"/>
      <c r="O338" s="26"/>
      <c r="P338" s="65"/>
      <c r="Q338" s="71"/>
      <c r="R338" s="71"/>
    </row>
    <row r="339" spans="2:19" x14ac:dyDescent="0.25">
      <c r="B339" s="139">
        <v>44157</v>
      </c>
      <c r="C339" s="48" t="s">
        <v>22</v>
      </c>
      <c r="D339" s="43"/>
      <c r="E339" s="43"/>
      <c r="F339" s="43"/>
      <c r="G339" s="34"/>
      <c r="H339" s="28"/>
      <c r="I339" s="28"/>
      <c r="J339" s="28"/>
      <c r="K339" s="43"/>
      <c r="L339" s="27"/>
      <c r="M339" s="27"/>
      <c r="N339" s="44"/>
      <c r="O339" s="26"/>
      <c r="P339" s="65"/>
      <c r="Q339" s="71"/>
      <c r="R339" s="71"/>
    </row>
    <row r="340" spans="2:19" x14ac:dyDescent="0.25">
      <c r="B340" s="139">
        <v>44158</v>
      </c>
      <c r="C340" s="47" t="s">
        <v>6</v>
      </c>
      <c r="D340" s="184">
        <v>0.29166666666666669</v>
      </c>
      <c r="E340" s="184"/>
      <c r="F340" s="184"/>
      <c r="G340" s="185">
        <f t="shared" si="144"/>
        <v>0</v>
      </c>
      <c r="H340" s="186" t="b">
        <f t="shared" si="121"/>
        <v>0</v>
      </c>
      <c r="I340" s="187"/>
      <c r="J340" s="187"/>
      <c r="K340" s="184">
        <f t="shared" si="145"/>
        <v>0</v>
      </c>
      <c r="L340" s="188">
        <v>0.61041666666666672</v>
      </c>
      <c r="M340" s="188">
        <f t="shared" si="147"/>
        <v>0.31875000000000003</v>
      </c>
      <c r="N340" s="189">
        <f t="shared" si="133"/>
        <v>0</v>
      </c>
      <c r="O340" s="190">
        <f t="shared" si="146"/>
        <v>0</v>
      </c>
      <c r="P340" s="67">
        <f>P339+N340</f>
        <v>0</v>
      </c>
      <c r="Q340" s="71"/>
      <c r="R340" s="71"/>
    </row>
    <row r="341" spans="2:19" x14ac:dyDescent="0.25">
      <c r="B341" s="139">
        <v>44159</v>
      </c>
      <c r="C341" s="47" t="s">
        <v>7</v>
      </c>
      <c r="D341" s="184">
        <v>0.29166666666666669</v>
      </c>
      <c r="E341" s="184"/>
      <c r="F341" s="184"/>
      <c r="G341" s="185">
        <f t="shared" si="144"/>
        <v>0</v>
      </c>
      <c r="H341" s="186" t="b">
        <f t="shared" si="121"/>
        <v>0</v>
      </c>
      <c r="I341" s="187"/>
      <c r="J341" s="187"/>
      <c r="K341" s="184">
        <f t="shared" si="145"/>
        <v>0</v>
      </c>
      <c r="L341" s="188">
        <v>0.61041666666666672</v>
      </c>
      <c r="M341" s="188">
        <f t="shared" si="147"/>
        <v>0.31875000000000003</v>
      </c>
      <c r="N341" s="189">
        <f t="shared" si="133"/>
        <v>0</v>
      </c>
      <c r="O341" s="190">
        <f t="shared" si="146"/>
        <v>0</v>
      </c>
      <c r="P341" s="67">
        <f>P340+N341</f>
        <v>0</v>
      </c>
      <c r="Q341" s="71"/>
      <c r="R341" s="71"/>
    </row>
    <row r="342" spans="2:19" x14ac:dyDescent="0.25">
      <c r="B342" s="139">
        <v>44160</v>
      </c>
      <c r="C342" s="47" t="s">
        <v>23</v>
      </c>
      <c r="D342" s="184">
        <v>0.29166666666666669</v>
      </c>
      <c r="E342" s="184"/>
      <c r="F342" s="184"/>
      <c r="G342" s="185">
        <f t="shared" si="144"/>
        <v>0</v>
      </c>
      <c r="H342" s="186" t="b">
        <f t="shared" si="121"/>
        <v>0</v>
      </c>
      <c r="I342" s="187"/>
      <c r="J342" s="187"/>
      <c r="K342" s="184">
        <f t="shared" si="145"/>
        <v>0</v>
      </c>
      <c r="L342" s="188">
        <v>0.61041666666666672</v>
      </c>
      <c r="M342" s="188">
        <f t="shared" si="147"/>
        <v>0.31875000000000003</v>
      </c>
      <c r="N342" s="189">
        <f t="shared" si="133"/>
        <v>0</v>
      </c>
      <c r="O342" s="190">
        <f t="shared" si="146"/>
        <v>0</v>
      </c>
      <c r="P342" s="67">
        <f>P341+N342</f>
        <v>0</v>
      </c>
      <c r="Q342" s="71"/>
      <c r="R342" s="71"/>
    </row>
    <row r="343" spans="2:19" x14ac:dyDescent="0.25">
      <c r="B343" s="139">
        <v>44161</v>
      </c>
      <c r="C343" s="47" t="s">
        <v>8</v>
      </c>
      <c r="D343" s="184">
        <v>0.29166666666666669</v>
      </c>
      <c r="E343" s="184"/>
      <c r="F343" s="184"/>
      <c r="G343" s="185">
        <f t="shared" si="144"/>
        <v>0</v>
      </c>
      <c r="H343" s="186" t="b">
        <f t="shared" si="121"/>
        <v>0</v>
      </c>
      <c r="I343" s="187"/>
      <c r="J343" s="187"/>
      <c r="K343" s="184">
        <f t="shared" si="145"/>
        <v>0</v>
      </c>
      <c r="L343" s="188">
        <v>0.61041666666666672</v>
      </c>
      <c r="M343" s="188">
        <f t="shared" si="147"/>
        <v>0.31875000000000003</v>
      </c>
      <c r="N343" s="189">
        <f t="shared" si="133"/>
        <v>0</v>
      </c>
      <c r="O343" s="190">
        <f t="shared" si="146"/>
        <v>0</v>
      </c>
      <c r="P343" s="67">
        <f>P342+N343</f>
        <v>0</v>
      </c>
      <c r="Q343" s="71"/>
      <c r="R343" s="71"/>
    </row>
    <row r="344" spans="2:19" x14ac:dyDescent="0.25">
      <c r="B344" s="139">
        <v>44162</v>
      </c>
      <c r="C344" s="47" t="s">
        <v>9</v>
      </c>
      <c r="D344" s="184">
        <v>0.29166666666666669</v>
      </c>
      <c r="E344" s="184"/>
      <c r="F344" s="184"/>
      <c r="G344" s="185">
        <f t="shared" ref="G344" si="154">F344-E344</f>
        <v>0</v>
      </c>
      <c r="H344" s="186" t="b">
        <f t="shared" ref="H344:H377" si="155">IF(G344&gt;$I$6,G344-$I$6)</f>
        <v>0</v>
      </c>
      <c r="I344" s="187"/>
      <c r="J344" s="187"/>
      <c r="K344" s="184">
        <f t="shared" ref="K344" si="156">J344-I344</f>
        <v>0</v>
      </c>
      <c r="L344" s="188">
        <v>0.61041666666666672</v>
      </c>
      <c r="M344" s="188">
        <f t="shared" ref="M344" si="157">(L344-D344)-H344-K344</f>
        <v>0.31875000000000003</v>
      </c>
      <c r="N344" s="189">
        <f t="shared" si="133"/>
        <v>0</v>
      </c>
      <c r="O344" s="190">
        <f t="shared" ref="O344" si="158">O343+N344</f>
        <v>0</v>
      </c>
      <c r="P344" s="67">
        <f>P343+N344</f>
        <v>0</v>
      </c>
      <c r="Q344" s="72">
        <f t="shared" ref="Q344" si="159">SUM(M340:M344)</f>
        <v>1.5937500000000002</v>
      </c>
      <c r="R344" s="72">
        <f t="shared" ref="R344" si="160">Q344/5</f>
        <v>0.31875000000000003</v>
      </c>
    </row>
    <row r="345" spans="2:19" x14ac:dyDescent="0.25">
      <c r="B345" s="139">
        <v>44163</v>
      </c>
      <c r="C345" s="48" t="s">
        <v>21</v>
      </c>
      <c r="D345" s="43"/>
      <c r="E345" s="43"/>
      <c r="F345" s="43"/>
      <c r="G345" s="34"/>
      <c r="H345" s="25"/>
      <c r="I345" s="28"/>
      <c r="J345" s="28"/>
      <c r="K345" s="43"/>
      <c r="L345" s="27"/>
      <c r="M345" s="27"/>
      <c r="N345" s="44"/>
      <c r="O345" s="26"/>
      <c r="P345" s="65"/>
      <c r="Q345" s="71"/>
      <c r="R345" s="71"/>
    </row>
    <row r="346" spans="2:19" x14ac:dyDescent="0.25">
      <c r="B346" s="139">
        <v>44164</v>
      </c>
      <c r="C346" s="48" t="s">
        <v>22</v>
      </c>
      <c r="D346" s="43"/>
      <c r="E346" s="43"/>
      <c r="F346" s="43"/>
      <c r="G346" s="34"/>
      <c r="H346" s="28"/>
      <c r="I346" s="28"/>
      <c r="J346" s="28"/>
      <c r="K346" s="43"/>
      <c r="L346" s="27"/>
      <c r="M346" s="27"/>
      <c r="N346" s="44"/>
      <c r="O346" s="26"/>
      <c r="P346" s="65"/>
      <c r="Q346" s="71"/>
      <c r="R346" s="71"/>
    </row>
    <row r="347" spans="2:19" x14ac:dyDescent="0.25">
      <c r="B347" s="139">
        <v>44165</v>
      </c>
      <c r="C347" s="47" t="s">
        <v>6</v>
      </c>
      <c r="D347" s="35">
        <v>0.34861111111111115</v>
      </c>
      <c r="E347" s="35">
        <v>0.44791666666666669</v>
      </c>
      <c r="F347" s="35">
        <v>0.46319444444444446</v>
      </c>
      <c r="G347" s="30">
        <f t="shared" ref="G347:G370" si="161">F347-E347</f>
        <v>1.5277777777777779E-2</v>
      </c>
      <c r="H347" s="13">
        <f t="shared" si="155"/>
        <v>1.3888888888888909E-3</v>
      </c>
      <c r="I347" s="35">
        <v>0.62708333333333333</v>
      </c>
      <c r="J347" s="35">
        <v>0.6972222222222223</v>
      </c>
      <c r="K347" s="35">
        <f t="shared" ref="K347:K370" si="162">J347-I347</f>
        <v>7.0138888888888973E-2</v>
      </c>
      <c r="L347" s="32">
        <v>0.75069444444444444</v>
      </c>
      <c r="M347" s="32">
        <f t="shared" ref="M347:M370" si="163">(L347-D347)-H347-K347</f>
        <v>0.33055555555555544</v>
      </c>
      <c r="N347" s="23">
        <f t="shared" si="133"/>
        <v>1.1805555555555403E-2</v>
      </c>
      <c r="O347" s="33">
        <f t="shared" ref="O347:O370" si="164">O346+N347</f>
        <v>1.1805555555555403E-2</v>
      </c>
      <c r="P347" s="67">
        <f>P346+N347</f>
        <v>1.1805555555555403E-2</v>
      </c>
      <c r="Q347" s="71"/>
      <c r="R347" s="71"/>
      <c r="S347" s="72"/>
    </row>
    <row r="348" spans="2:19" x14ac:dyDescent="0.25">
      <c r="B348" s="139">
        <v>44166</v>
      </c>
      <c r="C348" s="47" t="s">
        <v>7</v>
      </c>
      <c r="D348" s="35">
        <v>0.31527777777777777</v>
      </c>
      <c r="E348" s="35">
        <v>0.4465277777777778</v>
      </c>
      <c r="F348" s="35">
        <v>0.46249999999999997</v>
      </c>
      <c r="G348" s="30">
        <f t="shared" si="161"/>
        <v>1.5972222222222165E-2</v>
      </c>
      <c r="H348" s="13">
        <f t="shared" si="155"/>
        <v>2.0833333333332774E-3</v>
      </c>
      <c r="I348" s="35">
        <v>0.625</v>
      </c>
      <c r="J348" s="35">
        <v>0.69791666666666663</v>
      </c>
      <c r="K348" s="35">
        <f t="shared" si="162"/>
        <v>7.291666666666663E-2</v>
      </c>
      <c r="L348" s="32">
        <v>0.75138888888888899</v>
      </c>
      <c r="M348" s="32">
        <f t="shared" si="163"/>
        <v>0.36111111111111133</v>
      </c>
      <c r="N348" s="23">
        <f t="shared" si="133"/>
        <v>4.2361111111111294E-2</v>
      </c>
      <c r="O348" s="33">
        <f t="shared" si="164"/>
        <v>5.4166666666666696E-2</v>
      </c>
      <c r="P348" s="67">
        <f>P347+N348</f>
        <v>5.4166666666666696E-2</v>
      </c>
      <c r="Q348" s="71"/>
      <c r="R348" s="71"/>
      <c r="S348" s="72"/>
    </row>
    <row r="349" spans="2:19" x14ac:dyDescent="0.25">
      <c r="B349" s="139">
        <v>44167</v>
      </c>
      <c r="C349" s="47" t="s">
        <v>23</v>
      </c>
      <c r="D349" s="35">
        <v>0.31666666666666665</v>
      </c>
      <c r="E349" s="35">
        <v>0.42499999999999999</v>
      </c>
      <c r="F349" s="35">
        <v>0.4465277777777778</v>
      </c>
      <c r="G349" s="30">
        <f t="shared" si="161"/>
        <v>2.1527777777777812E-2</v>
      </c>
      <c r="H349" s="13">
        <f t="shared" si="155"/>
        <v>7.6388888888889242E-3</v>
      </c>
      <c r="I349" s="35"/>
      <c r="J349" s="35"/>
      <c r="K349" s="35">
        <f t="shared" si="162"/>
        <v>0</v>
      </c>
      <c r="L349" s="32">
        <v>0.59375</v>
      </c>
      <c r="M349" s="32">
        <f t="shared" si="163"/>
        <v>0.26944444444444443</v>
      </c>
      <c r="N349" s="23">
        <f t="shared" si="133"/>
        <v>-4.9305555555555602E-2</v>
      </c>
      <c r="O349" s="33">
        <f t="shared" si="164"/>
        <v>4.8611111111110938E-3</v>
      </c>
      <c r="P349" s="67">
        <f>P348+N349</f>
        <v>4.8611111111110938E-3</v>
      </c>
      <c r="Q349" s="71"/>
      <c r="R349" s="71"/>
      <c r="S349" s="72"/>
    </row>
    <row r="350" spans="2:19" x14ac:dyDescent="0.25">
      <c r="B350" s="139">
        <v>44168</v>
      </c>
      <c r="C350" s="47" t="s">
        <v>8</v>
      </c>
      <c r="D350" s="184">
        <v>0.29166666666666669</v>
      </c>
      <c r="E350" s="184"/>
      <c r="F350" s="184"/>
      <c r="G350" s="185">
        <f t="shared" si="161"/>
        <v>0</v>
      </c>
      <c r="H350" s="186" t="b">
        <f t="shared" si="155"/>
        <v>0</v>
      </c>
      <c r="I350" s="187"/>
      <c r="J350" s="187"/>
      <c r="K350" s="184">
        <f t="shared" si="162"/>
        <v>0</v>
      </c>
      <c r="L350" s="188">
        <v>0.61041666666666672</v>
      </c>
      <c r="M350" s="188">
        <f t="shared" si="163"/>
        <v>0.31875000000000003</v>
      </c>
      <c r="N350" s="189">
        <f t="shared" si="133"/>
        <v>0</v>
      </c>
      <c r="O350" s="190">
        <f t="shared" si="164"/>
        <v>4.8611111111110938E-3</v>
      </c>
      <c r="P350" s="67">
        <f>P349+N350</f>
        <v>4.8611111111110938E-3</v>
      </c>
      <c r="Q350" s="71"/>
      <c r="R350" s="71"/>
      <c r="S350" s="72"/>
    </row>
    <row r="351" spans="2:19" x14ac:dyDescent="0.25">
      <c r="B351" s="139">
        <v>44169</v>
      </c>
      <c r="C351" s="47" t="s">
        <v>9</v>
      </c>
      <c r="D351" s="35">
        <v>0.31527777777777777</v>
      </c>
      <c r="E351" s="35">
        <v>0.44097222222222227</v>
      </c>
      <c r="F351" s="35">
        <v>0.45416666666666666</v>
      </c>
      <c r="G351" s="30">
        <f t="shared" si="161"/>
        <v>1.3194444444444398E-2</v>
      </c>
      <c r="H351" s="13" t="b">
        <f t="shared" si="155"/>
        <v>0</v>
      </c>
      <c r="I351" s="36"/>
      <c r="J351" s="36"/>
      <c r="K351" s="35">
        <f t="shared" si="162"/>
        <v>0</v>
      </c>
      <c r="L351" s="32">
        <v>0.58819444444444446</v>
      </c>
      <c r="M351" s="32">
        <f t="shared" si="163"/>
        <v>0.2729166666666667</v>
      </c>
      <c r="N351" s="23">
        <f t="shared" si="133"/>
        <v>-4.5833333333333337E-2</v>
      </c>
      <c r="O351" s="33">
        <f t="shared" si="164"/>
        <v>-4.0972222222222243E-2</v>
      </c>
      <c r="P351" s="67">
        <f>P350+N351</f>
        <v>-4.0972222222222243E-2</v>
      </c>
      <c r="Q351" s="72">
        <f t="shared" ref="Q351" si="165">SUM(M347:M351)</f>
        <v>1.552777777777778</v>
      </c>
      <c r="R351" s="72">
        <f t="shared" ref="R351" si="166">Q351/5</f>
        <v>0.31055555555555558</v>
      </c>
      <c r="S351" s="72"/>
    </row>
    <row r="352" spans="2:19" x14ac:dyDescent="0.25">
      <c r="B352" s="139">
        <v>44170</v>
      </c>
      <c r="C352" s="48" t="s">
        <v>21</v>
      </c>
      <c r="D352" s="43"/>
      <c r="E352" s="43"/>
      <c r="F352" s="43"/>
      <c r="G352" s="34"/>
      <c r="H352" s="25"/>
      <c r="I352" s="28"/>
      <c r="J352" s="28"/>
      <c r="K352" s="43"/>
      <c r="L352" s="27"/>
      <c r="M352" s="27"/>
      <c r="N352" s="44"/>
      <c r="O352" s="26"/>
      <c r="P352" s="65"/>
      <c r="Q352" s="71"/>
      <c r="R352" s="71"/>
      <c r="S352" s="72"/>
    </row>
    <row r="353" spans="2:19" x14ac:dyDescent="0.25">
      <c r="B353" s="139">
        <v>44171</v>
      </c>
      <c r="C353" s="48" t="s">
        <v>22</v>
      </c>
      <c r="D353" s="43"/>
      <c r="E353" s="43"/>
      <c r="F353" s="43"/>
      <c r="G353" s="34"/>
      <c r="H353" s="28"/>
      <c r="I353" s="28"/>
      <c r="J353" s="28"/>
      <c r="K353" s="43"/>
      <c r="L353" s="27"/>
      <c r="M353" s="27"/>
      <c r="N353" s="44"/>
      <c r="O353" s="26"/>
      <c r="P353" s="65"/>
      <c r="Q353" s="71"/>
      <c r="R353" s="71"/>
      <c r="S353" s="72"/>
    </row>
    <row r="354" spans="2:19" x14ac:dyDescent="0.25">
      <c r="B354" s="139">
        <v>44172</v>
      </c>
      <c r="C354" s="47" t="s">
        <v>6</v>
      </c>
      <c r="D354" s="184">
        <v>0.29166666666666669</v>
      </c>
      <c r="E354" s="184"/>
      <c r="F354" s="184"/>
      <c r="G354" s="185">
        <f t="shared" si="161"/>
        <v>0</v>
      </c>
      <c r="H354" s="186" t="b">
        <f t="shared" si="155"/>
        <v>0</v>
      </c>
      <c r="I354" s="187"/>
      <c r="J354" s="187"/>
      <c r="K354" s="184">
        <f t="shared" si="162"/>
        <v>0</v>
      </c>
      <c r="L354" s="188">
        <v>0.61041666666666672</v>
      </c>
      <c r="M354" s="188">
        <f t="shared" si="163"/>
        <v>0.31875000000000003</v>
      </c>
      <c r="N354" s="189">
        <f t="shared" si="133"/>
        <v>0</v>
      </c>
      <c r="O354" s="190">
        <f t="shared" si="164"/>
        <v>0</v>
      </c>
      <c r="P354" s="67">
        <f>P353+N354</f>
        <v>0</v>
      </c>
      <c r="Q354" s="71"/>
      <c r="R354" s="71"/>
      <c r="S354" s="72"/>
    </row>
    <row r="355" spans="2:19" x14ac:dyDescent="0.25">
      <c r="B355" s="139">
        <v>44173</v>
      </c>
      <c r="C355" s="47" t="s">
        <v>7</v>
      </c>
      <c r="D355" s="35">
        <v>0.31527777777777777</v>
      </c>
      <c r="E355" s="35">
        <v>0.4513888888888889</v>
      </c>
      <c r="F355" s="35">
        <v>0.46736111111111112</v>
      </c>
      <c r="G355" s="30">
        <f t="shared" si="161"/>
        <v>1.5972222222222221E-2</v>
      </c>
      <c r="H355" s="13">
        <f t="shared" si="155"/>
        <v>2.0833333333333329E-3</v>
      </c>
      <c r="I355" s="35">
        <v>0.625</v>
      </c>
      <c r="J355" s="35">
        <v>0.70138888888888884</v>
      </c>
      <c r="K355" s="35">
        <f t="shared" si="162"/>
        <v>7.638888888888884E-2</v>
      </c>
      <c r="L355" s="32">
        <v>0.75138888888888899</v>
      </c>
      <c r="M355" s="32">
        <f t="shared" si="163"/>
        <v>0.35763888888888906</v>
      </c>
      <c r="N355" s="23">
        <f t="shared" si="133"/>
        <v>3.8888888888889028E-2</v>
      </c>
      <c r="O355" s="33">
        <f t="shared" si="164"/>
        <v>3.8888888888889028E-2</v>
      </c>
      <c r="P355" s="67">
        <f>P354+N355</f>
        <v>3.8888888888889028E-2</v>
      </c>
      <c r="Q355" s="71"/>
      <c r="R355" s="71"/>
      <c r="S355" s="72"/>
    </row>
    <row r="356" spans="2:19" x14ac:dyDescent="0.25">
      <c r="B356" s="139">
        <v>44174</v>
      </c>
      <c r="C356" s="47" t="s">
        <v>23</v>
      </c>
      <c r="D356" s="35">
        <v>0.34583333333333338</v>
      </c>
      <c r="E356" s="35"/>
      <c r="F356" s="35"/>
      <c r="G356" s="30">
        <f t="shared" si="161"/>
        <v>0</v>
      </c>
      <c r="H356" s="13" t="b">
        <f t="shared" si="155"/>
        <v>0</v>
      </c>
      <c r="I356" s="35">
        <v>0.62708333333333333</v>
      </c>
      <c r="J356" s="35">
        <v>0.6777777777777777</v>
      </c>
      <c r="K356" s="35">
        <f t="shared" si="162"/>
        <v>5.0694444444444375E-2</v>
      </c>
      <c r="L356" s="32">
        <v>0.75138888888888899</v>
      </c>
      <c r="M356" s="32">
        <f t="shared" si="163"/>
        <v>0.35486111111111124</v>
      </c>
      <c r="N356" s="23">
        <f t="shared" si="133"/>
        <v>3.6111111111111205E-2</v>
      </c>
      <c r="O356" s="33">
        <f t="shared" si="164"/>
        <v>7.5000000000000233E-2</v>
      </c>
      <c r="P356" s="67">
        <f>P355+N356</f>
        <v>7.5000000000000233E-2</v>
      </c>
      <c r="Q356" s="71"/>
      <c r="R356" s="71"/>
      <c r="S356" s="72"/>
    </row>
    <row r="357" spans="2:19" x14ac:dyDescent="0.25">
      <c r="B357" s="139">
        <v>44175</v>
      </c>
      <c r="C357" s="47" t="s">
        <v>8</v>
      </c>
      <c r="D357" s="35">
        <v>0.34375</v>
      </c>
      <c r="E357" s="35">
        <v>0.45416666666666666</v>
      </c>
      <c r="F357" s="35">
        <v>0.46875</v>
      </c>
      <c r="G357" s="30">
        <f t="shared" si="161"/>
        <v>1.4583333333333337E-2</v>
      </c>
      <c r="H357" s="13">
        <f t="shared" si="155"/>
        <v>6.9444444444444892E-4</v>
      </c>
      <c r="I357" s="35">
        <v>0.63055555555555554</v>
      </c>
      <c r="J357" s="35">
        <v>0.68333333333333324</v>
      </c>
      <c r="K357" s="35">
        <f t="shared" si="162"/>
        <v>5.2777777777777701E-2</v>
      </c>
      <c r="L357" s="32">
        <v>0.75277777777777777</v>
      </c>
      <c r="M357" s="32">
        <f t="shared" si="163"/>
        <v>0.35555555555555562</v>
      </c>
      <c r="N357" s="23">
        <f t="shared" si="133"/>
        <v>3.6805555555555591E-2</v>
      </c>
      <c r="O357" s="33">
        <f t="shared" si="164"/>
        <v>0.11180555555555582</v>
      </c>
      <c r="P357" s="67">
        <f>P356+N357</f>
        <v>0.11180555555555582</v>
      </c>
      <c r="Q357" s="71"/>
      <c r="R357" s="71"/>
      <c r="S357" s="72"/>
    </row>
    <row r="358" spans="2:19" x14ac:dyDescent="0.25">
      <c r="B358" s="139">
        <v>44176</v>
      </c>
      <c r="C358" s="47" t="s">
        <v>9</v>
      </c>
      <c r="D358" s="35">
        <v>0.31597222222222221</v>
      </c>
      <c r="E358" s="35"/>
      <c r="F358" s="35"/>
      <c r="G358" s="30">
        <f t="shared" si="161"/>
        <v>0</v>
      </c>
      <c r="H358" s="13" t="b">
        <f t="shared" si="155"/>
        <v>0</v>
      </c>
      <c r="I358" s="36"/>
      <c r="J358" s="36"/>
      <c r="K358" s="35">
        <f t="shared" si="162"/>
        <v>0</v>
      </c>
      <c r="L358" s="32">
        <v>0.58333333333333337</v>
      </c>
      <c r="M358" s="32">
        <f t="shared" si="163"/>
        <v>0.26736111111111116</v>
      </c>
      <c r="N358" s="23">
        <f t="shared" si="133"/>
        <v>-5.1388888888888873E-2</v>
      </c>
      <c r="O358" s="33">
        <f t="shared" si="164"/>
        <v>6.0416666666666952E-2</v>
      </c>
      <c r="P358" s="67">
        <f>P357+N358</f>
        <v>6.0416666666666952E-2</v>
      </c>
      <c r="Q358" s="72">
        <f t="shared" ref="Q358" si="167">SUM(M354:M358)</f>
        <v>1.6541666666666672</v>
      </c>
      <c r="R358" s="72">
        <f t="shared" ref="R358" si="168">Q358/5</f>
        <v>0.33083333333333342</v>
      </c>
      <c r="S358" s="72"/>
    </row>
    <row r="359" spans="2:19" x14ac:dyDescent="0.25">
      <c r="B359" s="139">
        <v>44177</v>
      </c>
      <c r="C359" s="48" t="s">
        <v>21</v>
      </c>
      <c r="D359" s="43"/>
      <c r="E359" s="43"/>
      <c r="F359" s="43"/>
      <c r="G359" s="34"/>
      <c r="H359" s="25"/>
      <c r="I359" s="28"/>
      <c r="J359" s="28"/>
      <c r="K359" s="43"/>
      <c r="L359" s="27"/>
      <c r="M359" s="27"/>
      <c r="N359" s="44"/>
      <c r="O359" s="26"/>
      <c r="P359" s="65"/>
      <c r="Q359" s="71"/>
      <c r="R359" s="71"/>
      <c r="S359" s="72"/>
    </row>
    <row r="360" spans="2:19" x14ac:dyDescent="0.25">
      <c r="B360" s="139">
        <v>44178</v>
      </c>
      <c r="C360" s="48" t="s">
        <v>22</v>
      </c>
      <c r="D360" s="43"/>
      <c r="E360" s="43"/>
      <c r="F360" s="43"/>
      <c r="G360" s="34"/>
      <c r="H360" s="28"/>
      <c r="I360" s="28"/>
      <c r="J360" s="28"/>
      <c r="K360" s="43"/>
      <c r="L360" s="27"/>
      <c r="M360" s="27"/>
      <c r="N360" s="44"/>
      <c r="O360" s="26"/>
      <c r="P360" s="65"/>
      <c r="Q360" s="71"/>
      <c r="R360" s="71"/>
      <c r="S360" s="72"/>
    </row>
    <row r="361" spans="2:19" x14ac:dyDescent="0.25">
      <c r="B361" s="139">
        <v>44179</v>
      </c>
      <c r="C361" s="47" t="s">
        <v>6</v>
      </c>
      <c r="D361" s="35">
        <v>0.3444444444444445</v>
      </c>
      <c r="E361" s="35">
        <v>0.46388888888888885</v>
      </c>
      <c r="F361" s="35">
        <v>0.47986111111111113</v>
      </c>
      <c r="G361" s="30">
        <f t="shared" si="161"/>
        <v>1.5972222222222276E-2</v>
      </c>
      <c r="H361" s="13">
        <f t="shared" si="155"/>
        <v>2.0833333333333884E-3</v>
      </c>
      <c r="I361" s="35"/>
      <c r="J361" s="35"/>
      <c r="K361" s="35">
        <f t="shared" si="162"/>
        <v>0</v>
      </c>
      <c r="L361" s="32">
        <v>0.65555555555555556</v>
      </c>
      <c r="M361" s="32">
        <f t="shared" si="163"/>
        <v>0.30902777777777768</v>
      </c>
      <c r="N361" s="23">
        <f t="shared" si="133"/>
        <v>-9.7222222222223542E-3</v>
      </c>
      <c r="O361" s="33">
        <f t="shared" si="164"/>
        <v>-9.7222222222223542E-3</v>
      </c>
      <c r="P361" s="67">
        <f>P360+N361</f>
        <v>-9.7222222222223542E-3</v>
      </c>
      <c r="Q361" s="71"/>
      <c r="R361" s="71"/>
      <c r="S361" s="72"/>
    </row>
    <row r="362" spans="2:19" x14ac:dyDescent="0.25">
      <c r="B362" s="139">
        <v>44180</v>
      </c>
      <c r="C362" s="47" t="s">
        <v>7</v>
      </c>
      <c r="D362" s="35">
        <v>0.3125</v>
      </c>
      <c r="E362" s="35">
        <v>0.45069444444444445</v>
      </c>
      <c r="F362" s="35">
        <v>0.46666666666666662</v>
      </c>
      <c r="G362" s="30">
        <f t="shared" si="161"/>
        <v>1.5972222222222165E-2</v>
      </c>
      <c r="H362" s="13">
        <f t="shared" si="155"/>
        <v>2.0833333333332774E-3</v>
      </c>
      <c r="I362" s="36"/>
      <c r="J362" s="36"/>
      <c r="K362" s="35">
        <f t="shared" si="162"/>
        <v>0</v>
      </c>
      <c r="L362" s="32">
        <v>0.62222222222222223</v>
      </c>
      <c r="M362" s="32">
        <f t="shared" si="163"/>
        <v>0.30763888888888896</v>
      </c>
      <c r="N362" s="23">
        <f t="shared" ref="N362:N376" si="169">M362-$D$6</f>
        <v>-1.1111111111111072E-2</v>
      </c>
      <c r="O362" s="33">
        <f t="shared" si="164"/>
        <v>-2.0833333333333426E-2</v>
      </c>
      <c r="P362" s="67">
        <f>P361+N362</f>
        <v>-2.0833333333333426E-2</v>
      </c>
      <c r="Q362" s="71"/>
      <c r="R362" s="71"/>
      <c r="S362" s="72"/>
    </row>
    <row r="363" spans="2:19" x14ac:dyDescent="0.25">
      <c r="B363" s="139">
        <v>44181</v>
      </c>
      <c r="C363" s="47" t="s">
        <v>23</v>
      </c>
      <c r="D363" s="35">
        <v>0.31875000000000003</v>
      </c>
      <c r="E363" s="35">
        <v>0.44513888888888892</v>
      </c>
      <c r="F363" s="35">
        <v>0.4597222222222222</v>
      </c>
      <c r="G363" s="30">
        <f t="shared" si="161"/>
        <v>1.4583333333333282E-2</v>
      </c>
      <c r="H363" s="13">
        <f t="shared" si="155"/>
        <v>6.9444444444439341E-4</v>
      </c>
      <c r="I363" s="36"/>
      <c r="J363" s="36"/>
      <c r="K363" s="35">
        <f t="shared" si="162"/>
        <v>0</v>
      </c>
      <c r="L363" s="32">
        <v>0.6479166666666667</v>
      </c>
      <c r="M363" s="32">
        <f t="shared" si="163"/>
        <v>0.32847222222222228</v>
      </c>
      <c r="N363" s="23">
        <f t="shared" si="169"/>
        <v>9.7222222222222432E-3</v>
      </c>
      <c r="O363" s="33">
        <f t="shared" si="164"/>
        <v>-1.1111111111111183E-2</v>
      </c>
      <c r="P363" s="67">
        <f>P362+N363</f>
        <v>-1.1111111111111183E-2</v>
      </c>
      <c r="Q363" s="71"/>
      <c r="R363" s="71"/>
      <c r="S363" s="72"/>
    </row>
    <row r="364" spans="2:19" x14ac:dyDescent="0.25">
      <c r="B364" s="139">
        <v>44182</v>
      </c>
      <c r="C364" s="47" t="s">
        <v>8</v>
      </c>
      <c r="D364" s="35">
        <v>0.3125</v>
      </c>
      <c r="E364" s="35">
        <v>0.4152777777777778</v>
      </c>
      <c r="F364" s="35">
        <v>0.43194444444444446</v>
      </c>
      <c r="G364" s="30">
        <f t="shared" si="161"/>
        <v>1.6666666666666663E-2</v>
      </c>
      <c r="H364" s="13">
        <f t="shared" si="155"/>
        <v>2.7777777777777748E-3</v>
      </c>
      <c r="I364" s="36"/>
      <c r="J364" s="36"/>
      <c r="K364" s="35">
        <f t="shared" si="162"/>
        <v>0</v>
      </c>
      <c r="L364" s="32">
        <v>0.625</v>
      </c>
      <c r="M364" s="32">
        <f t="shared" si="163"/>
        <v>0.30972222222222223</v>
      </c>
      <c r="N364" s="23">
        <f t="shared" si="169"/>
        <v>-9.0277777777778012E-3</v>
      </c>
      <c r="O364" s="33">
        <f t="shared" si="164"/>
        <v>-2.0138888888888984E-2</v>
      </c>
      <c r="P364" s="67">
        <f>P363+N364</f>
        <v>-2.0138888888888984E-2</v>
      </c>
      <c r="Q364" s="71"/>
      <c r="R364" s="71"/>
      <c r="S364" s="72"/>
    </row>
    <row r="365" spans="2:19" x14ac:dyDescent="0.25">
      <c r="B365" s="139">
        <v>44183</v>
      </c>
      <c r="C365" s="47" t="s">
        <v>9</v>
      </c>
      <c r="D365" s="184">
        <v>0.3125</v>
      </c>
      <c r="E365" s="184"/>
      <c r="F365" s="184"/>
      <c r="G365" s="185">
        <f t="shared" si="161"/>
        <v>0</v>
      </c>
      <c r="H365" s="186" t="b">
        <f t="shared" si="155"/>
        <v>0</v>
      </c>
      <c r="I365" s="187"/>
      <c r="J365" s="184"/>
      <c r="K365" s="184">
        <f t="shared" si="162"/>
        <v>0</v>
      </c>
      <c r="L365" s="188">
        <v>0.63124999999999998</v>
      </c>
      <c r="M365" s="188">
        <f t="shared" si="163"/>
        <v>0.31874999999999998</v>
      </c>
      <c r="N365" s="189">
        <f t="shared" si="169"/>
        <v>0</v>
      </c>
      <c r="O365" s="190">
        <f t="shared" si="164"/>
        <v>-2.0138888888888984E-2</v>
      </c>
      <c r="P365" s="67">
        <f>P364+N365</f>
        <v>-2.0138888888888984E-2</v>
      </c>
      <c r="Q365" s="72">
        <f t="shared" ref="Q365" si="170">SUM(M361:M365)</f>
        <v>1.5736111111111111</v>
      </c>
      <c r="R365" s="72">
        <f t="shared" ref="R365" si="171">Q365/5</f>
        <v>0.31472222222222224</v>
      </c>
      <c r="S365" s="72"/>
    </row>
    <row r="366" spans="2:19" x14ac:dyDescent="0.25">
      <c r="B366" s="139">
        <v>44184</v>
      </c>
      <c r="C366" s="48" t="s">
        <v>21</v>
      </c>
      <c r="D366" s="43"/>
      <c r="E366" s="43"/>
      <c r="F366" s="43"/>
      <c r="G366" s="34"/>
      <c r="H366" s="25"/>
      <c r="I366" s="28"/>
      <c r="J366" s="28"/>
      <c r="K366" s="43"/>
      <c r="L366" s="27"/>
      <c r="M366" s="27"/>
      <c r="N366" s="44"/>
      <c r="O366" s="26"/>
      <c r="P366" s="65"/>
      <c r="Q366" s="71"/>
      <c r="R366" s="71"/>
      <c r="S366" s="72"/>
    </row>
    <row r="367" spans="2:19" x14ac:dyDescent="0.25">
      <c r="B367" s="139">
        <v>44185</v>
      </c>
      <c r="C367" s="48" t="s">
        <v>22</v>
      </c>
      <c r="D367" s="43"/>
      <c r="E367" s="43"/>
      <c r="F367" s="43"/>
      <c r="G367" s="34"/>
      <c r="H367" s="28"/>
      <c r="I367" s="28"/>
      <c r="J367" s="28"/>
      <c r="K367" s="43"/>
      <c r="L367" s="27"/>
      <c r="M367" s="27"/>
      <c r="N367" s="44"/>
      <c r="O367" s="26"/>
      <c r="P367" s="65"/>
      <c r="Q367" s="71"/>
      <c r="R367" s="71"/>
      <c r="S367" s="72"/>
    </row>
    <row r="368" spans="2:19" x14ac:dyDescent="0.25">
      <c r="B368" s="139">
        <v>44186</v>
      </c>
      <c r="C368" s="47" t="s">
        <v>6</v>
      </c>
      <c r="D368" s="184">
        <v>0.3125</v>
      </c>
      <c r="E368" s="184"/>
      <c r="F368" s="184"/>
      <c r="G368" s="185">
        <f t="shared" si="161"/>
        <v>0</v>
      </c>
      <c r="H368" s="186" t="b">
        <f t="shared" si="155"/>
        <v>0</v>
      </c>
      <c r="I368" s="187"/>
      <c r="J368" s="187"/>
      <c r="K368" s="184">
        <f t="shared" si="162"/>
        <v>0</v>
      </c>
      <c r="L368" s="188">
        <v>0.63124999999999998</v>
      </c>
      <c r="M368" s="188">
        <f t="shared" si="163"/>
        <v>0.31874999999999998</v>
      </c>
      <c r="N368" s="189">
        <f t="shared" si="169"/>
        <v>0</v>
      </c>
      <c r="O368" s="190">
        <f t="shared" si="164"/>
        <v>0</v>
      </c>
      <c r="P368" s="67">
        <f>P367+N368</f>
        <v>0</v>
      </c>
      <c r="Q368" s="71"/>
      <c r="R368" s="71"/>
      <c r="S368" s="72"/>
    </row>
    <row r="369" spans="2:19" x14ac:dyDescent="0.25">
      <c r="B369" s="139">
        <v>44187</v>
      </c>
      <c r="C369" s="47" t="s">
        <v>7</v>
      </c>
      <c r="D369" s="184">
        <v>0.3125</v>
      </c>
      <c r="E369" s="184"/>
      <c r="F369" s="184"/>
      <c r="G369" s="185">
        <f t="shared" si="161"/>
        <v>0</v>
      </c>
      <c r="H369" s="186" t="b">
        <f t="shared" si="155"/>
        <v>0</v>
      </c>
      <c r="I369" s="187"/>
      <c r="J369" s="187"/>
      <c r="K369" s="184">
        <f t="shared" si="162"/>
        <v>0</v>
      </c>
      <c r="L369" s="188">
        <v>0.63124999999999998</v>
      </c>
      <c r="M369" s="188">
        <f t="shared" si="163"/>
        <v>0.31874999999999998</v>
      </c>
      <c r="N369" s="189">
        <f t="shared" si="169"/>
        <v>0</v>
      </c>
      <c r="O369" s="190">
        <f t="shared" si="164"/>
        <v>0</v>
      </c>
      <c r="P369" s="67">
        <f>P368+N369</f>
        <v>0</v>
      </c>
      <c r="Q369" s="71"/>
      <c r="R369" s="71"/>
      <c r="S369" s="72"/>
    </row>
    <row r="370" spans="2:19" x14ac:dyDescent="0.25">
      <c r="B370" s="139">
        <v>44188</v>
      </c>
      <c r="C370" s="47" t="s">
        <v>23</v>
      </c>
      <c r="D370" s="184">
        <v>0.3125</v>
      </c>
      <c r="E370" s="184"/>
      <c r="F370" s="184"/>
      <c r="G370" s="185">
        <f t="shared" si="161"/>
        <v>0</v>
      </c>
      <c r="H370" s="186" t="b">
        <f t="shared" si="155"/>
        <v>0</v>
      </c>
      <c r="I370" s="187"/>
      <c r="J370" s="187"/>
      <c r="K370" s="184">
        <f t="shared" si="162"/>
        <v>0</v>
      </c>
      <c r="L370" s="188">
        <v>0.63124999999999998</v>
      </c>
      <c r="M370" s="188">
        <f t="shared" si="163"/>
        <v>0.31874999999999998</v>
      </c>
      <c r="N370" s="189">
        <f t="shared" si="169"/>
        <v>0</v>
      </c>
      <c r="O370" s="190">
        <f t="shared" si="164"/>
        <v>0</v>
      </c>
      <c r="P370" s="67">
        <f>P369+N370</f>
        <v>0</v>
      </c>
      <c r="Q370" s="71"/>
      <c r="R370" s="71"/>
      <c r="S370" s="72"/>
    </row>
    <row r="371" spans="2:19" x14ac:dyDescent="0.25">
      <c r="B371" s="139">
        <v>44189</v>
      </c>
      <c r="C371" s="47" t="s">
        <v>8</v>
      </c>
      <c r="D371" s="184">
        <v>0.3125</v>
      </c>
      <c r="E371" s="184"/>
      <c r="F371" s="184"/>
      <c r="G371" s="185">
        <f t="shared" ref="G371:G376" si="172">F371-E371</f>
        <v>0</v>
      </c>
      <c r="H371" s="186" t="b">
        <f t="shared" si="155"/>
        <v>0</v>
      </c>
      <c r="I371" s="187"/>
      <c r="J371" s="187"/>
      <c r="K371" s="184">
        <f t="shared" ref="K371:K376" si="173">J371-I371</f>
        <v>0</v>
      </c>
      <c r="L371" s="188">
        <v>0.63124999999999998</v>
      </c>
      <c r="M371" s="188">
        <f t="shared" ref="M371:M376" si="174">(L371-D371)-H371-K371</f>
        <v>0.31874999999999998</v>
      </c>
      <c r="N371" s="189">
        <f t="shared" si="169"/>
        <v>0</v>
      </c>
      <c r="O371" s="190">
        <f t="shared" ref="O371:O376" si="175">O370+N371</f>
        <v>0</v>
      </c>
      <c r="P371" s="67">
        <f>P370+N371</f>
        <v>0</v>
      </c>
      <c r="Q371" s="71"/>
      <c r="R371" s="191"/>
      <c r="S371" s="72"/>
    </row>
    <row r="372" spans="2:19" x14ac:dyDescent="0.25">
      <c r="B372" s="139">
        <v>44190</v>
      </c>
      <c r="C372" s="47" t="s">
        <v>9</v>
      </c>
      <c r="D372" s="184">
        <v>0.3125</v>
      </c>
      <c r="E372" s="184"/>
      <c r="F372" s="184"/>
      <c r="G372" s="185">
        <f t="shared" si="172"/>
        <v>0</v>
      </c>
      <c r="H372" s="186" t="b">
        <f t="shared" si="155"/>
        <v>0</v>
      </c>
      <c r="I372" s="187"/>
      <c r="J372" s="187"/>
      <c r="K372" s="184">
        <f t="shared" si="173"/>
        <v>0</v>
      </c>
      <c r="L372" s="188">
        <v>0.63124999999999998</v>
      </c>
      <c r="M372" s="188">
        <f t="shared" si="174"/>
        <v>0.31874999999999998</v>
      </c>
      <c r="N372" s="189">
        <f t="shared" si="169"/>
        <v>0</v>
      </c>
      <c r="O372" s="190">
        <f t="shared" si="175"/>
        <v>0</v>
      </c>
      <c r="P372" s="67">
        <f>P371+N372</f>
        <v>0</v>
      </c>
      <c r="Q372" s="72">
        <f t="shared" ref="Q372" si="176">SUM(M368:M372)</f>
        <v>1.59375</v>
      </c>
      <c r="R372" s="72">
        <f t="shared" ref="R372" si="177">Q372/5</f>
        <v>0.31874999999999998</v>
      </c>
      <c r="S372" s="72"/>
    </row>
    <row r="373" spans="2:19" x14ac:dyDescent="0.25">
      <c r="B373" s="139">
        <v>44191</v>
      </c>
      <c r="C373" s="48" t="s">
        <v>21</v>
      </c>
      <c r="D373" s="43"/>
      <c r="E373" s="43"/>
      <c r="F373" s="43"/>
      <c r="G373" s="34"/>
      <c r="H373" s="25"/>
      <c r="I373" s="28"/>
      <c r="J373" s="28"/>
      <c r="K373" s="43"/>
      <c r="L373" s="27"/>
      <c r="M373" s="27"/>
      <c r="N373" s="44"/>
      <c r="O373" s="26"/>
      <c r="P373" s="65"/>
      <c r="Q373" s="71"/>
      <c r="R373" s="71"/>
      <c r="S373" s="72"/>
    </row>
    <row r="374" spans="2:19" x14ac:dyDescent="0.25">
      <c r="B374" s="139">
        <v>44192</v>
      </c>
      <c r="C374" s="48" t="s">
        <v>22</v>
      </c>
      <c r="D374" s="43"/>
      <c r="E374" s="43"/>
      <c r="F374" s="43"/>
      <c r="G374" s="34"/>
      <c r="H374" s="28"/>
      <c r="I374" s="28"/>
      <c r="J374" s="28"/>
      <c r="K374" s="43"/>
      <c r="L374" s="27"/>
      <c r="M374" s="27"/>
      <c r="N374" s="44"/>
      <c r="O374" s="26"/>
      <c r="P374" s="65"/>
      <c r="Q374" s="71"/>
      <c r="R374" s="71"/>
      <c r="S374" s="72"/>
    </row>
    <row r="375" spans="2:19" x14ac:dyDescent="0.25">
      <c r="B375" s="139">
        <v>44193</v>
      </c>
      <c r="C375" s="47" t="s">
        <v>6</v>
      </c>
      <c r="D375" s="35">
        <v>0.31527777777777777</v>
      </c>
      <c r="E375" s="35">
        <v>0.4548611111111111</v>
      </c>
      <c r="F375" s="35">
        <v>0.47152777777777777</v>
      </c>
      <c r="G375" s="30">
        <f t="shared" si="172"/>
        <v>1.6666666666666663E-2</v>
      </c>
      <c r="H375" s="13">
        <f t="shared" si="155"/>
        <v>2.7777777777777748E-3</v>
      </c>
      <c r="I375" s="36"/>
      <c r="J375" s="36"/>
      <c r="K375" s="35">
        <f t="shared" si="173"/>
        <v>0</v>
      </c>
      <c r="L375" s="32">
        <v>0.6381944444444444</v>
      </c>
      <c r="M375" s="32">
        <f t="shared" si="174"/>
        <v>0.32013888888888886</v>
      </c>
      <c r="N375" s="23">
        <f t="shared" si="169"/>
        <v>1.3888888888888284E-3</v>
      </c>
      <c r="O375" s="33">
        <f t="shared" si="175"/>
        <v>1.3888888888888284E-3</v>
      </c>
      <c r="P375" s="67">
        <f>P374+N375</f>
        <v>1.3888888888888284E-3</v>
      </c>
      <c r="Q375" s="71"/>
      <c r="R375" s="71"/>
      <c r="S375" s="72"/>
    </row>
    <row r="376" spans="2:19" x14ac:dyDescent="0.25">
      <c r="B376" s="139">
        <v>44194</v>
      </c>
      <c r="C376" s="49" t="s">
        <v>7</v>
      </c>
      <c r="D376" s="182">
        <v>0.3125</v>
      </c>
      <c r="E376" s="51"/>
      <c r="F376" s="51"/>
      <c r="G376" s="52">
        <f t="shared" si="172"/>
        <v>0</v>
      </c>
      <c r="H376" s="13" t="b">
        <f t="shared" si="155"/>
        <v>0</v>
      </c>
      <c r="I376" s="53"/>
      <c r="J376" s="53"/>
      <c r="K376" s="51">
        <f t="shared" si="173"/>
        <v>0</v>
      </c>
      <c r="L376" s="183">
        <v>0.63124999999999998</v>
      </c>
      <c r="M376" s="54">
        <f t="shared" si="174"/>
        <v>0.31874999999999998</v>
      </c>
      <c r="N376" s="55">
        <f t="shared" si="169"/>
        <v>0</v>
      </c>
      <c r="O376" s="56">
        <f t="shared" si="175"/>
        <v>1.3888888888888284E-3</v>
      </c>
      <c r="P376" s="68">
        <f>P375+N376</f>
        <v>1.3888888888888284E-3</v>
      </c>
      <c r="Q376" s="72">
        <f>SUM(M375:M376)</f>
        <v>0.63888888888888884</v>
      </c>
      <c r="R376" s="71"/>
      <c r="S376" s="72"/>
    </row>
    <row r="377" spans="2:19" x14ac:dyDescent="0.25">
      <c r="B377" s="140">
        <v>44195</v>
      </c>
      <c r="C377" s="129" t="s">
        <v>30</v>
      </c>
      <c r="D377" s="182">
        <v>0.3125</v>
      </c>
      <c r="E377" s="130"/>
      <c r="F377" s="130"/>
      <c r="G377" s="131">
        <f t="shared" ref="G377" si="178">F377-E377</f>
        <v>0</v>
      </c>
      <c r="H377" s="13" t="b">
        <f t="shared" si="155"/>
        <v>0</v>
      </c>
      <c r="I377" s="132"/>
      <c r="J377" s="132"/>
      <c r="K377" s="130">
        <f t="shared" ref="K377" si="179">J377-I377</f>
        <v>0</v>
      </c>
      <c r="L377" s="183">
        <v>0.63124999999999998</v>
      </c>
      <c r="M377" s="133">
        <f t="shared" ref="M377" si="180">(L377-D377)-H377-K377</f>
        <v>0.31874999999999998</v>
      </c>
      <c r="N377" s="134">
        <f t="shared" ref="N377" si="181">M377-$D$6</f>
        <v>0</v>
      </c>
      <c r="O377" s="135">
        <f t="shared" ref="O377" si="182">O376+N377</f>
        <v>1.3888888888888284E-3</v>
      </c>
      <c r="P377" s="136">
        <f>P376+N377</f>
        <v>1.3888888888888284E-3</v>
      </c>
      <c r="Q377" s="71"/>
      <c r="R377" s="192"/>
      <c r="S377" s="72"/>
    </row>
    <row r="380" spans="2:19" x14ac:dyDescent="0.25">
      <c r="H380" s="157"/>
    </row>
  </sheetData>
  <autoFilter ref="A11:P376" xr:uid="{5B1377B2-D1B8-4A1E-9606-852DA568E33C}">
    <filterColumn colId="3" showButton="0"/>
    <filterColumn colId="4" showButton="0"/>
    <filterColumn colId="5" showButton="0"/>
    <filterColumn colId="6" showButton="0"/>
    <filterColumn colId="8" showButton="0"/>
    <filterColumn colId="9" showButton="0"/>
  </autoFilter>
  <mergeCells count="4">
    <mergeCell ref="B12:C12"/>
    <mergeCell ref="B6:C6"/>
    <mergeCell ref="D11:H11"/>
    <mergeCell ref="I11:K11"/>
  </mergeCells>
  <conditionalFormatting sqref="P13:P40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P41:P376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P377">
    <cfRule type="cellIs" dxfId="5" priority="5" operator="lessThan">
      <formula>0</formula>
    </cfRule>
    <cfRule type="cellIs" dxfId="4" priority="6" operator="greaterThan">
      <formula>0</formula>
    </cfRule>
  </conditionalFormatting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EC46-F3BE-488E-A327-D8671620BE60}">
  <sheetPr codeName="Hoja2"/>
  <dimension ref="A3:U379"/>
  <sheetViews>
    <sheetView topLeftCell="A145" zoomScale="70" zoomScaleNormal="70" workbookViewId="0">
      <selection activeCell="B1" sqref="B1"/>
    </sheetView>
  </sheetViews>
  <sheetFormatPr baseColWidth="10" defaultRowHeight="15" x14ac:dyDescent="0.25"/>
  <cols>
    <col min="1" max="1" width="4.42578125" customWidth="1"/>
    <col min="2" max="2" width="13.7109375" style="8" customWidth="1"/>
    <col min="3" max="3" width="16.5703125" customWidth="1"/>
    <col min="4" max="4" width="12.85546875" bestFit="1" customWidth="1"/>
    <col min="5" max="5" width="13.28515625" customWidth="1"/>
    <col min="6" max="6" width="15" bestFit="1" customWidth="1"/>
    <col min="7" max="7" width="15.85546875" customWidth="1"/>
    <col min="8" max="8" width="13.7109375" customWidth="1"/>
    <col min="9" max="9" width="16.5703125" customWidth="1"/>
    <col min="10" max="10" width="19.140625" customWidth="1"/>
    <col min="11" max="11" width="15.85546875" customWidth="1"/>
    <col min="12" max="12" width="17.5703125" customWidth="1"/>
    <col min="13" max="13" width="21.42578125" customWidth="1"/>
    <col min="14" max="14" width="17.7109375" customWidth="1"/>
    <col min="15" max="15" width="18.42578125" customWidth="1"/>
    <col min="16" max="16" width="19.7109375" customWidth="1"/>
  </cols>
  <sheetData>
    <row r="3" spans="2:18" ht="18.75" x14ac:dyDescent="0.3">
      <c r="D3" s="9" t="s">
        <v>28</v>
      </c>
      <c r="E3" s="2"/>
      <c r="F3" s="2"/>
      <c r="G3" s="2"/>
      <c r="H3" s="3"/>
      <c r="I3" s="3"/>
    </row>
    <row r="4" spans="2:18" x14ac:dyDescent="0.25">
      <c r="C4" s="4"/>
      <c r="D4" s="4"/>
      <c r="E4" s="4"/>
      <c r="F4" s="4"/>
      <c r="G4" s="4"/>
      <c r="H4" s="3"/>
      <c r="I4" s="3"/>
    </row>
    <row r="5" spans="2:18" x14ac:dyDescent="0.25">
      <c r="C5" s="5"/>
      <c r="D5" s="6" t="s">
        <v>18</v>
      </c>
      <c r="E5" s="6" t="s">
        <v>19</v>
      </c>
      <c r="F5" s="4"/>
      <c r="G5" s="6" t="s">
        <v>20</v>
      </c>
      <c r="H5" s="3"/>
      <c r="I5" s="6" t="s">
        <v>24</v>
      </c>
      <c r="J5" s="6" t="s">
        <v>27</v>
      </c>
      <c r="L5" s="6" t="s">
        <v>29</v>
      </c>
    </row>
    <row r="6" spans="2:18" x14ac:dyDescent="0.25">
      <c r="B6" s="196" t="s">
        <v>17</v>
      </c>
      <c r="C6" s="197"/>
      <c r="D6" s="7">
        <v>0.31875000000000003</v>
      </c>
      <c r="E6" s="7">
        <v>0.29166666666666669</v>
      </c>
      <c r="F6" s="4"/>
      <c r="G6" s="7">
        <v>0.20833333333333334</v>
      </c>
      <c r="H6" s="3"/>
      <c r="I6" s="7">
        <v>1.3888888888888888E-2</v>
      </c>
      <c r="J6" s="7">
        <v>4.1666666666666664E-2</v>
      </c>
      <c r="L6" s="7">
        <v>0</v>
      </c>
    </row>
    <row r="10" spans="2:18" ht="15.75" thickBot="1" x14ac:dyDescent="0.3"/>
    <row r="11" spans="2:18" ht="19.5" customHeight="1" thickBot="1" x14ac:dyDescent="0.35">
      <c r="B11" s="40"/>
      <c r="C11" s="41"/>
      <c r="D11" s="198" t="s">
        <v>25</v>
      </c>
      <c r="E11" s="199"/>
      <c r="F11" s="199"/>
      <c r="G11" s="199"/>
      <c r="H11" s="200"/>
      <c r="I11" s="201" t="s">
        <v>26</v>
      </c>
      <c r="J11" s="202"/>
      <c r="K11" s="203"/>
      <c r="L11" s="10"/>
      <c r="M11" s="10"/>
      <c r="N11" s="10"/>
      <c r="O11" s="10"/>
      <c r="P11" s="11"/>
      <c r="Q11" s="11"/>
      <c r="R11" s="11"/>
    </row>
    <row r="12" spans="2:18" ht="30" customHeight="1" thickBot="1" x14ac:dyDescent="0.3">
      <c r="B12" s="194"/>
      <c r="C12" s="195"/>
      <c r="D12" s="37" t="s">
        <v>0</v>
      </c>
      <c r="E12" s="37" t="s">
        <v>3</v>
      </c>
      <c r="F12" s="37" t="s">
        <v>4</v>
      </c>
      <c r="G12" s="37" t="s">
        <v>5</v>
      </c>
      <c r="H12" s="37" t="s">
        <v>10</v>
      </c>
      <c r="I12" s="37" t="s">
        <v>13</v>
      </c>
      <c r="J12" s="37" t="s">
        <v>14</v>
      </c>
      <c r="K12" s="37" t="s">
        <v>15</v>
      </c>
      <c r="L12" s="37" t="s">
        <v>1</v>
      </c>
      <c r="M12" s="37" t="s">
        <v>2</v>
      </c>
      <c r="N12" s="37" t="s">
        <v>12</v>
      </c>
      <c r="O12" s="37" t="s">
        <v>11</v>
      </c>
      <c r="P12" s="38" t="s">
        <v>16</v>
      </c>
      <c r="Q12" s="69" t="s">
        <v>31</v>
      </c>
      <c r="R12" s="69" t="s">
        <v>32</v>
      </c>
    </row>
    <row r="13" spans="2:18" s="1" customFormat="1" x14ac:dyDescent="0.25">
      <c r="B13" s="45">
        <v>43830</v>
      </c>
      <c r="C13" s="12" t="s">
        <v>6</v>
      </c>
      <c r="D13" s="13"/>
      <c r="E13" s="14"/>
      <c r="F13" s="14"/>
      <c r="G13" s="19">
        <f t="shared" ref="G13:G16" si="0">F13-E13</f>
        <v>0</v>
      </c>
      <c r="H13" s="13" t="b">
        <f>IF(G13&gt;$I$6,G13-I3)</f>
        <v>0</v>
      </c>
      <c r="I13" s="14"/>
      <c r="J13" s="14"/>
      <c r="K13" s="35">
        <f t="shared" ref="K13:K76" si="1">J13-I13</f>
        <v>0</v>
      </c>
      <c r="L13" s="15"/>
      <c r="M13" s="16">
        <f>(L13-D13)-H13-K13</f>
        <v>0</v>
      </c>
      <c r="N13" s="17">
        <f>M13-$D$6</f>
        <v>-0.31875000000000003</v>
      </c>
      <c r="O13" s="18">
        <f>N13</f>
        <v>-0.31875000000000003</v>
      </c>
      <c r="P13" s="63">
        <v>0</v>
      </c>
      <c r="Q13" s="70"/>
      <c r="R13" s="70"/>
    </row>
    <row r="14" spans="2:18" s="1" customFormat="1" x14ac:dyDescent="0.25">
      <c r="B14" s="45">
        <v>43831</v>
      </c>
      <c r="C14" s="12" t="s">
        <v>7</v>
      </c>
      <c r="D14" s="13"/>
      <c r="E14" s="14"/>
      <c r="F14" s="14"/>
      <c r="G14" s="19">
        <f t="shared" si="0"/>
        <v>0</v>
      </c>
      <c r="H14" s="13" t="b">
        <f t="shared" ref="H14:H17" si="2">IF(G14&gt;$I$6,G14-I4)</f>
        <v>0</v>
      </c>
      <c r="I14" s="14"/>
      <c r="J14" s="14"/>
      <c r="K14" s="35">
        <f t="shared" si="1"/>
        <v>0</v>
      </c>
      <c r="L14" s="15"/>
      <c r="M14" s="22">
        <f>(L14-D14)-H14-K14</f>
        <v>0</v>
      </c>
      <c r="N14" s="23">
        <f>M14-$D$6</f>
        <v>-0.31875000000000003</v>
      </c>
      <c r="O14" s="24">
        <f>O13+N14</f>
        <v>-0.63750000000000007</v>
      </c>
      <c r="P14" s="64">
        <f>P13+O14</f>
        <v>-0.63750000000000007</v>
      </c>
      <c r="Q14" s="70"/>
      <c r="R14" s="70"/>
    </row>
    <row r="15" spans="2:18" s="1" customFormat="1" x14ac:dyDescent="0.25">
      <c r="B15" s="45">
        <v>43832</v>
      </c>
      <c r="C15" s="12" t="s">
        <v>23</v>
      </c>
      <c r="D15" s="13"/>
      <c r="E15" s="14"/>
      <c r="F15" s="14"/>
      <c r="G15" s="19">
        <f t="shared" si="0"/>
        <v>0</v>
      </c>
      <c r="H15" s="13" t="b">
        <f t="shared" si="2"/>
        <v>0</v>
      </c>
      <c r="I15" s="14"/>
      <c r="J15" s="14"/>
      <c r="K15" s="35">
        <f t="shared" si="1"/>
        <v>0</v>
      </c>
      <c r="L15" s="15"/>
      <c r="M15" s="22">
        <f>(L15-D15)-H15-K15</f>
        <v>0</v>
      </c>
      <c r="N15" s="23">
        <f>M15-$D$6</f>
        <v>-0.31875000000000003</v>
      </c>
      <c r="O15" s="24">
        <f>O14+N15</f>
        <v>-0.95625000000000004</v>
      </c>
      <c r="P15" s="64">
        <f t="shared" ref="P15:P17" si="3">P14+O15</f>
        <v>-1.59375</v>
      </c>
      <c r="Q15" s="70"/>
      <c r="R15" s="70"/>
    </row>
    <row r="16" spans="2:18" s="1" customFormat="1" x14ac:dyDescent="0.25">
      <c r="B16" s="45">
        <v>43833</v>
      </c>
      <c r="C16" s="12" t="s">
        <v>8</v>
      </c>
      <c r="D16" s="13"/>
      <c r="E16" s="14"/>
      <c r="F16" s="14"/>
      <c r="G16" s="19">
        <f t="shared" si="0"/>
        <v>0</v>
      </c>
      <c r="H16" s="13" t="b">
        <f t="shared" si="2"/>
        <v>0</v>
      </c>
      <c r="I16" s="14"/>
      <c r="J16" s="14"/>
      <c r="K16" s="35">
        <f t="shared" si="1"/>
        <v>0</v>
      </c>
      <c r="L16" s="15"/>
      <c r="M16" s="22">
        <f>(L16-D16)-H16-K16</f>
        <v>0</v>
      </c>
      <c r="N16" s="23">
        <f>M16-$D$6</f>
        <v>-0.31875000000000003</v>
      </c>
      <c r="O16" s="24">
        <f>O15+N16</f>
        <v>-1.2750000000000001</v>
      </c>
      <c r="P16" s="64">
        <f>P15+N16</f>
        <v>-1.9125000000000001</v>
      </c>
      <c r="Q16" s="70"/>
      <c r="R16" s="70"/>
    </row>
    <row r="17" spans="1:18" s="1" customFormat="1" x14ac:dyDescent="0.25">
      <c r="B17" s="45">
        <v>43834</v>
      </c>
      <c r="C17" s="12" t="s">
        <v>9</v>
      </c>
      <c r="D17" s="19"/>
      <c r="E17" s="19"/>
      <c r="F17" s="19"/>
      <c r="G17" s="19">
        <f>F17-E17</f>
        <v>0</v>
      </c>
      <c r="H17" s="13" t="b">
        <f t="shared" si="2"/>
        <v>0</v>
      </c>
      <c r="I17" s="19"/>
      <c r="J17" s="19"/>
      <c r="K17" s="35">
        <f t="shared" si="1"/>
        <v>0</v>
      </c>
      <c r="L17" s="21"/>
      <c r="M17" s="22">
        <f>(L17-D17)-H17-K17</f>
        <v>0</v>
      </c>
      <c r="N17" s="23">
        <f>M17-$D$6</f>
        <v>-0.31875000000000003</v>
      </c>
      <c r="O17" s="24">
        <f>O16+N17</f>
        <v>-1.5937500000000002</v>
      </c>
      <c r="P17" s="64">
        <f t="shared" si="3"/>
        <v>-3.5062500000000005</v>
      </c>
      <c r="Q17" s="70"/>
      <c r="R17" s="70"/>
    </row>
    <row r="18" spans="1:18" s="1" customFormat="1" x14ac:dyDescent="0.25">
      <c r="B18" s="46">
        <v>43835</v>
      </c>
      <c r="C18" s="42" t="s">
        <v>21</v>
      </c>
      <c r="D18" s="25"/>
      <c r="E18" s="25"/>
      <c r="F18" s="25"/>
      <c r="G18" s="25"/>
      <c r="H18" s="25"/>
      <c r="I18" s="25"/>
      <c r="J18" s="25"/>
      <c r="K18" s="25"/>
      <c r="L18" s="26"/>
      <c r="M18" s="27"/>
      <c r="N18" s="27"/>
      <c r="O18" s="27"/>
      <c r="P18" s="65"/>
      <c r="Q18" s="70"/>
      <c r="R18" s="70"/>
    </row>
    <row r="19" spans="1:18" s="1" customFormat="1" x14ac:dyDescent="0.25">
      <c r="B19" s="46">
        <v>43836</v>
      </c>
      <c r="C19" s="42" t="s">
        <v>22</v>
      </c>
      <c r="D19" s="28"/>
      <c r="E19" s="28"/>
      <c r="F19" s="28"/>
      <c r="G19" s="28"/>
      <c r="H19" s="28"/>
      <c r="I19" s="28"/>
      <c r="J19" s="28"/>
      <c r="K19" s="25"/>
      <c r="L19" s="29"/>
      <c r="M19" s="29"/>
      <c r="N19" s="27"/>
      <c r="O19" s="27"/>
      <c r="P19" s="66"/>
      <c r="Q19" s="70"/>
      <c r="R19" s="70"/>
    </row>
    <row r="20" spans="1:18" s="1" customFormat="1" x14ac:dyDescent="0.25">
      <c r="B20" s="45">
        <v>43837</v>
      </c>
      <c r="C20" s="12" t="s">
        <v>6</v>
      </c>
      <c r="D20" s="19"/>
      <c r="E20" s="20"/>
      <c r="F20" s="20"/>
      <c r="G20" s="30">
        <f>F20-E20</f>
        <v>0</v>
      </c>
      <c r="H20" s="30" t="b">
        <f>IF(G20&gt;$I$6,G20-$I$6)</f>
        <v>0</v>
      </c>
      <c r="I20" s="20"/>
      <c r="J20" s="20"/>
      <c r="K20" s="35">
        <f t="shared" si="1"/>
        <v>0</v>
      </c>
      <c r="L20" s="21"/>
      <c r="M20" s="22">
        <f>(L20-D20)-H20-K20</f>
        <v>0</v>
      </c>
      <c r="N20" s="23">
        <f>M20-$D$6</f>
        <v>-0.31875000000000003</v>
      </c>
      <c r="O20" s="24">
        <f>N20</f>
        <v>-0.31875000000000003</v>
      </c>
      <c r="P20" s="64">
        <f>O20+P17</f>
        <v>-3.8250000000000006</v>
      </c>
      <c r="Q20" s="70"/>
      <c r="R20" s="70"/>
    </row>
    <row r="21" spans="1:18" x14ac:dyDescent="0.25">
      <c r="A21" s="1"/>
      <c r="B21" s="45">
        <v>43838</v>
      </c>
      <c r="C21" s="12" t="s">
        <v>7</v>
      </c>
      <c r="D21" s="30"/>
      <c r="E21" s="30"/>
      <c r="F21" s="30"/>
      <c r="G21" s="30">
        <f>F21-E21</f>
        <v>0</v>
      </c>
      <c r="H21" s="30" t="b">
        <f>IF(G21&gt;$I$6,G21-$I$6)</f>
        <v>0</v>
      </c>
      <c r="I21" s="30"/>
      <c r="J21" s="30"/>
      <c r="K21" s="35">
        <f t="shared" si="1"/>
        <v>0</v>
      </c>
      <c r="L21" s="31"/>
      <c r="M21" s="32">
        <f>(L21-D21)-H21-K21</f>
        <v>0</v>
      </c>
      <c r="N21" s="23">
        <f>M21-$D$6</f>
        <v>-0.31875000000000003</v>
      </c>
      <c r="O21" s="33">
        <f>O20+N21</f>
        <v>-0.63750000000000007</v>
      </c>
      <c r="P21" s="67">
        <f>P20+N21</f>
        <v>-4.1437500000000007</v>
      </c>
      <c r="Q21" s="71"/>
      <c r="R21" s="71"/>
    </row>
    <row r="22" spans="1:18" x14ac:dyDescent="0.25">
      <c r="A22" s="1"/>
      <c r="B22" s="45">
        <v>43839</v>
      </c>
      <c r="C22" s="12" t="s">
        <v>23</v>
      </c>
      <c r="D22" s="30"/>
      <c r="E22" s="30"/>
      <c r="F22" s="30"/>
      <c r="G22" s="30">
        <f>F22-E22</f>
        <v>0</v>
      </c>
      <c r="H22" s="30" t="b">
        <f t="shared" ref="H22:H45" si="4">IF(G22&gt;$I$6,G22-$I$6)</f>
        <v>0</v>
      </c>
      <c r="I22" s="30"/>
      <c r="J22" s="30"/>
      <c r="K22" s="35">
        <f t="shared" si="1"/>
        <v>0</v>
      </c>
      <c r="L22" s="31"/>
      <c r="M22" s="32">
        <f>(L22-D22)-H22-K22</f>
        <v>0</v>
      </c>
      <c r="N22" s="23">
        <f>M22-$D$6</f>
        <v>-0.31875000000000003</v>
      </c>
      <c r="O22" s="33">
        <f>O21+N22</f>
        <v>-0.95625000000000004</v>
      </c>
      <c r="P22" s="67">
        <f>P21+N22</f>
        <v>-4.4625000000000004</v>
      </c>
      <c r="Q22" s="71"/>
      <c r="R22" s="71"/>
    </row>
    <row r="23" spans="1:18" x14ac:dyDescent="0.25">
      <c r="A23" s="1"/>
      <c r="B23" s="45">
        <v>43840</v>
      </c>
      <c r="C23" s="12" t="s">
        <v>8</v>
      </c>
      <c r="D23" s="30"/>
      <c r="E23" s="30"/>
      <c r="F23" s="30"/>
      <c r="G23" s="30">
        <f>F23-E23</f>
        <v>0</v>
      </c>
      <c r="H23" s="30" t="b">
        <f t="shared" si="4"/>
        <v>0</v>
      </c>
      <c r="I23" s="30"/>
      <c r="J23" s="30"/>
      <c r="K23" s="35">
        <f t="shared" si="1"/>
        <v>0</v>
      </c>
      <c r="L23" s="31"/>
      <c r="M23" s="32">
        <f>(L23-D23)-H23-K23</f>
        <v>0</v>
      </c>
      <c r="N23" s="23">
        <f>M23-$D$6</f>
        <v>-0.31875000000000003</v>
      </c>
      <c r="O23" s="33">
        <f>O22+N23</f>
        <v>-1.2750000000000001</v>
      </c>
      <c r="P23" s="67">
        <f t="shared" ref="P23:P24" si="5">P22+N23</f>
        <v>-4.78125</v>
      </c>
      <c r="Q23" s="71"/>
      <c r="R23" s="71"/>
    </row>
    <row r="24" spans="1:18" x14ac:dyDescent="0.25">
      <c r="A24" s="1"/>
      <c r="B24" s="45">
        <v>43841</v>
      </c>
      <c r="C24" s="12" t="s">
        <v>9</v>
      </c>
      <c r="D24" s="30"/>
      <c r="E24" s="30"/>
      <c r="F24" s="30"/>
      <c r="G24" s="30">
        <f>F24-E24</f>
        <v>0</v>
      </c>
      <c r="H24" s="30" t="b">
        <f t="shared" si="4"/>
        <v>0</v>
      </c>
      <c r="I24" s="30"/>
      <c r="J24" s="30"/>
      <c r="K24" s="35">
        <f t="shared" si="1"/>
        <v>0</v>
      </c>
      <c r="L24" s="31"/>
      <c r="M24" s="32">
        <f>(L24-D24)-H24-K24</f>
        <v>0</v>
      </c>
      <c r="N24" s="23">
        <f>M24-$D$6</f>
        <v>-0.31875000000000003</v>
      </c>
      <c r="O24" s="33">
        <f>O23+N24</f>
        <v>-1.5937500000000002</v>
      </c>
      <c r="P24" s="67">
        <f t="shared" si="5"/>
        <v>-5.0999999999999996</v>
      </c>
      <c r="Q24" s="71"/>
      <c r="R24" s="71"/>
    </row>
    <row r="25" spans="1:18" x14ac:dyDescent="0.25">
      <c r="A25" s="1"/>
      <c r="B25" s="46">
        <v>43842</v>
      </c>
      <c r="C25" s="42" t="s">
        <v>21</v>
      </c>
      <c r="D25" s="28"/>
      <c r="E25" s="28"/>
      <c r="F25" s="28"/>
      <c r="G25" s="28"/>
      <c r="H25" s="34"/>
      <c r="I25" s="28"/>
      <c r="J25" s="28"/>
      <c r="K25" s="28"/>
      <c r="L25" s="29"/>
      <c r="M25" s="29"/>
      <c r="N25" s="29"/>
      <c r="O25" s="29"/>
      <c r="P25" s="66"/>
      <c r="Q25" s="71"/>
      <c r="R25" s="71"/>
    </row>
    <row r="26" spans="1:18" x14ac:dyDescent="0.25">
      <c r="A26" s="1"/>
      <c r="B26" s="46">
        <v>43843</v>
      </c>
      <c r="C26" s="42" t="s">
        <v>22</v>
      </c>
      <c r="D26" s="28"/>
      <c r="E26" s="28"/>
      <c r="F26" s="28"/>
      <c r="G26" s="28"/>
      <c r="H26" s="34"/>
      <c r="I26" s="28"/>
      <c r="J26" s="28"/>
      <c r="K26" s="28"/>
      <c r="L26" s="29"/>
      <c r="M26" s="29"/>
      <c r="N26" s="29"/>
      <c r="O26" s="29"/>
      <c r="P26" s="66"/>
      <c r="Q26" s="71"/>
      <c r="R26" s="71"/>
    </row>
    <row r="27" spans="1:18" x14ac:dyDescent="0.25">
      <c r="A27" s="1"/>
      <c r="B27" s="45">
        <v>43844</v>
      </c>
      <c r="C27" s="12" t="s">
        <v>6</v>
      </c>
      <c r="D27" s="30"/>
      <c r="E27" s="30"/>
      <c r="F27" s="30"/>
      <c r="G27" s="30">
        <f>F27-E27</f>
        <v>0</v>
      </c>
      <c r="H27" s="30" t="b">
        <f t="shared" si="4"/>
        <v>0</v>
      </c>
      <c r="I27" s="30"/>
      <c r="J27" s="30"/>
      <c r="K27" s="35">
        <f t="shared" si="1"/>
        <v>0</v>
      </c>
      <c r="L27" s="31"/>
      <c r="M27" s="32">
        <f>(L27-D27)-H27-K27</f>
        <v>0</v>
      </c>
      <c r="N27" s="23">
        <f>M27-$D$6</f>
        <v>-0.31875000000000003</v>
      </c>
      <c r="O27" s="33">
        <f>N27</f>
        <v>-0.31875000000000003</v>
      </c>
      <c r="P27" s="67">
        <f>O27+P24</f>
        <v>-5.4187499999999993</v>
      </c>
      <c r="Q27" s="71"/>
      <c r="R27" s="71"/>
    </row>
    <row r="28" spans="1:18" x14ac:dyDescent="0.25">
      <c r="A28" s="1"/>
      <c r="B28" s="45">
        <v>43845</v>
      </c>
      <c r="C28" s="12" t="s">
        <v>7</v>
      </c>
      <c r="D28" s="30"/>
      <c r="E28" s="30"/>
      <c r="F28" s="30"/>
      <c r="G28" s="30">
        <f>F28-E28</f>
        <v>0</v>
      </c>
      <c r="H28" s="30" t="b">
        <f t="shared" si="4"/>
        <v>0</v>
      </c>
      <c r="I28" s="30"/>
      <c r="J28" s="30"/>
      <c r="K28" s="35">
        <f t="shared" si="1"/>
        <v>0</v>
      </c>
      <c r="L28" s="31"/>
      <c r="M28" s="32">
        <f>(L28-D28)-H28-K28</f>
        <v>0</v>
      </c>
      <c r="N28" s="23">
        <f>M28-$D$6</f>
        <v>-0.31875000000000003</v>
      </c>
      <c r="O28" s="33">
        <f>O27+N28</f>
        <v>-0.63750000000000007</v>
      </c>
      <c r="P28" s="67">
        <f>P27+N28</f>
        <v>-5.7374999999999989</v>
      </c>
      <c r="Q28" s="71"/>
      <c r="R28" s="71"/>
    </row>
    <row r="29" spans="1:18" x14ac:dyDescent="0.25">
      <c r="A29" s="1"/>
      <c r="B29" s="45">
        <v>43846</v>
      </c>
      <c r="C29" s="12" t="s">
        <v>23</v>
      </c>
      <c r="D29" s="30"/>
      <c r="E29" s="30"/>
      <c r="F29" s="30"/>
      <c r="G29" s="30">
        <f>F29-E29</f>
        <v>0</v>
      </c>
      <c r="H29" s="30" t="b">
        <f t="shared" si="4"/>
        <v>0</v>
      </c>
      <c r="I29" s="30"/>
      <c r="J29" s="30"/>
      <c r="K29" s="35">
        <f t="shared" si="1"/>
        <v>0</v>
      </c>
      <c r="L29" s="31"/>
      <c r="M29" s="32">
        <f>(L29-D29)-H29-K29</f>
        <v>0</v>
      </c>
      <c r="N29" s="23">
        <f>M29-$D$6</f>
        <v>-0.31875000000000003</v>
      </c>
      <c r="O29" s="33">
        <f>O28+N29</f>
        <v>-0.95625000000000004</v>
      </c>
      <c r="P29" s="67">
        <f t="shared" ref="P29:P43" si="6">P28+N29</f>
        <v>-6.0562499999999986</v>
      </c>
      <c r="Q29" s="71"/>
      <c r="R29" s="71"/>
    </row>
    <row r="30" spans="1:18" x14ac:dyDescent="0.25">
      <c r="A30" s="1"/>
      <c r="B30" s="45">
        <v>43847</v>
      </c>
      <c r="C30" s="12" t="s">
        <v>8</v>
      </c>
      <c r="D30" s="30"/>
      <c r="E30" s="30"/>
      <c r="F30" s="30"/>
      <c r="G30" s="30">
        <f>F30-E30</f>
        <v>0</v>
      </c>
      <c r="H30" s="30" t="b">
        <f t="shared" si="4"/>
        <v>0</v>
      </c>
      <c r="I30" s="30"/>
      <c r="J30" s="30"/>
      <c r="K30" s="35">
        <f t="shared" si="1"/>
        <v>0</v>
      </c>
      <c r="L30" s="31"/>
      <c r="M30" s="32">
        <f>(L30-D30)-H30-K30</f>
        <v>0</v>
      </c>
      <c r="N30" s="23">
        <f>M30-$D$6</f>
        <v>-0.31875000000000003</v>
      </c>
      <c r="O30" s="33">
        <f>O29+N30</f>
        <v>-1.2750000000000001</v>
      </c>
      <c r="P30" s="67">
        <f t="shared" si="6"/>
        <v>-6.3749999999999982</v>
      </c>
      <c r="Q30" s="71"/>
      <c r="R30" s="71"/>
    </row>
    <row r="31" spans="1:18" x14ac:dyDescent="0.25">
      <c r="A31" s="1"/>
      <c r="B31" s="45">
        <v>43848</v>
      </c>
      <c r="C31" s="12" t="s">
        <v>9</v>
      </c>
      <c r="D31" s="30"/>
      <c r="E31" s="30"/>
      <c r="F31" s="30"/>
      <c r="G31" s="30">
        <f>F31-E31</f>
        <v>0</v>
      </c>
      <c r="H31" s="30" t="b">
        <f t="shared" si="4"/>
        <v>0</v>
      </c>
      <c r="I31" s="30"/>
      <c r="J31" s="30"/>
      <c r="K31" s="35">
        <f t="shared" si="1"/>
        <v>0</v>
      </c>
      <c r="L31" s="31"/>
      <c r="M31" s="32">
        <f>(L31-D31)-H31-K31</f>
        <v>0</v>
      </c>
      <c r="N31" s="23">
        <f>M31-$D$6</f>
        <v>-0.31875000000000003</v>
      </c>
      <c r="O31" s="33">
        <f>O30+N31</f>
        <v>-1.5937500000000002</v>
      </c>
      <c r="P31" s="67">
        <f>P30+N31</f>
        <v>-6.6937499999999979</v>
      </c>
      <c r="Q31" s="71"/>
      <c r="R31" s="71"/>
    </row>
    <row r="32" spans="1:18" x14ac:dyDescent="0.25">
      <c r="A32" s="1"/>
      <c r="B32" s="46">
        <v>43849</v>
      </c>
      <c r="C32" s="42" t="s">
        <v>21</v>
      </c>
      <c r="D32" s="28"/>
      <c r="E32" s="28"/>
      <c r="F32" s="28"/>
      <c r="G32" s="34"/>
      <c r="H32" s="34"/>
      <c r="I32" s="28"/>
      <c r="J32" s="28"/>
      <c r="K32" s="28"/>
      <c r="L32" s="29"/>
      <c r="M32" s="29"/>
      <c r="N32" s="29"/>
      <c r="O32" s="29"/>
      <c r="P32" s="66"/>
      <c r="Q32" s="71"/>
      <c r="R32" s="71"/>
    </row>
    <row r="33" spans="1:18" x14ac:dyDescent="0.25">
      <c r="A33" s="1"/>
      <c r="B33" s="46">
        <v>43850</v>
      </c>
      <c r="C33" s="42" t="s">
        <v>22</v>
      </c>
      <c r="D33" s="28"/>
      <c r="E33" s="28"/>
      <c r="F33" s="28"/>
      <c r="G33" s="34"/>
      <c r="H33" s="34"/>
      <c r="I33" s="28"/>
      <c r="J33" s="28"/>
      <c r="K33" s="28"/>
      <c r="L33" s="29"/>
      <c r="M33" s="29"/>
      <c r="N33" s="29"/>
      <c r="O33" s="29"/>
      <c r="P33" s="66"/>
      <c r="Q33" s="71"/>
      <c r="R33" s="71"/>
    </row>
    <row r="34" spans="1:18" x14ac:dyDescent="0.25">
      <c r="A34" s="1"/>
      <c r="B34" s="45">
        <v>43851</v>
      </c>
      <c r="C34" s="12" t="s">
        <v>6</v>
      </c>
      <c r="D34" s="35"/>
      <c r="E34" s="35"/>
      <c r="F34" s="35"/>
      <c r="G34" s="30">
        <f t="shared" ref="G34:G45" si="7">F34-E34</f>
        <v>0</v>
      </c>
      <c r="H34" s="30" t="b">
        <f t="shared" si="4"/>
        <v>0</v>
      </c>
      <c r="I34" s="35"/>
      <c r="J34" s="35"/>
      <c r="K34" s="35">
        <f t="shared" si="1"/>
        <v>0</v>
      </c>
      <c r="L34" s="32"/>
      <c r="M34" s="32">
        <f>(L34-D34)-H34-K34</f>
        <v>0</v>
      </c>
      <c r="N34" s="23">
        <f>M34-$D$6</f>
        <v>-0.31875000000000003</v>
      </c>
      <c r="O34" s="33">
        <f t="shared" ref="O34:O43" si="8">O33+N34</f>
        <v>-0.31875000000000003</v>
      </c>
      <c r="P34" s="67">
        <f>N34</f>
        <v>-0.31875000000000003</v>
      </c>
      <c r="Q34" s="71"/>
      <c r="R34" s="71"/>
    </row>
    <row r="35" spans="1:18" x14ac:dyDescent="0.25">
      <c r="A35" s="1"/>
      <c r="B35" s="45">
        <v>43852</v>
      </c>
      <c r="C35" s="12" t="s">
        <v>7</v>
      </c>
      <c r="D35" s="35"/>
      <c r="E35" s="35"/>
      <c r="F35" s="35"/>
      <c r="G35" s="30">
        <f t="shared" si="7"/>
        <v>0</v>
      </c>
      <c r="H35" s="30" t="b">
        <f t="shared" si="4"/>
        <v>0</v>
      </c>
      <c r="I35" s="35"/>
      <c r="J35" s="35"/>
      <c r="K35" s="35">
        <f t="shared" si="1"/>
        <v>0</v>
      </c>
      <c r="L35" s="32"/>
      <c r="M35" s="32">
        <f>(L35-D35)-H35-K35</f>
        <v>0</v>
      </c>
      <c r="N35" s="23">
        <f>M35-$D$6</f>
        <v>-0.31875000000000003</v>
      </c>
      <c r="O35" s="33">
        <f t="shared" si="8"/>
        <v>-0.63750000000000007</v>
      </c>
      <c r="P35" s="67">
        <f t="shared" si="6"/>
        <v>-0.63750000000000007</v>
      </c>
      <c r="Q35" s="71"/>
      <c r="R35" s="71"/>
    </row>
    <row r="36" spans="1:18" x14ac:dyDescent="0.25">
      <c r="A36" s="1"/>
      <c r="B36" s="45">
        <v>43853</v>
      </c>
      <c r="C36" s="12" t="s">
        <v>23</v>
      </c>
      <c r="D36" s="35"/>
      <c r="E36" s="35"/>
      <c r="F36" s="35"/>
      <c r="G36" s="30">
        <f t="shared" si="7"/>
        <v>0</v>
      </c>
      <c r="H36" s="30" t="b">
        <f t="shared" si="4"/>
        <v>0</v>
      </c>
      <c r="I36" s="35"/>
      <c r="J36" s="35"/>
      <c r="K36" s="35">
        <f t="shared" si="1"/>
        <v>0</v>
      </c>
      <c r="L36" s="32"/>
      <c r="M36" s="32">
        <f>(L36-D36)-H36-K36</f>
        <v>0</v>
      </c>
      <c r="N36" s="23">
        <f>M36-$D$6</f>
        <v>-0.31875000000000003</v>
      </c>
      <c r="O36" s="33">
        <f t="shared" si="8"/>
        <v>-0.95625000000000004</v>
      </c>
      <c r="P36" s="67">
        <f t="shared" si="6"/>
        <v>-0.95625000000000004</v>
      </c>
      <c r="Q36" s="71"/>
      <c r="R36" s="71"/>
    </row>
    <row r="37" spans="1:18" x14ac:dyDescent="0.25">
      <c r="A37" s="1"/>
      <c r="B37" s="45">
        <v>43854</v>
      </c>
      <c r="C37" s="47" t="s">
        <v>8</v>
      </c>
      <c r="D37" s="39"/>
      <c r="E37" s="35"/>
      <c r="F37" s="35"/>
      <c r="G37" s="30">
        <f t="shared" si="7"/>
        <v>0</v>
      </c>
      <c r="H37" s="30" t="b">
        <f t="shared" si="4"/>
        <v>0</v>
      </c>
      <c r="I37" s="35"/>
      <c r="J37" s="35"/>
      <c r="K37" s="35">
        <f t="shared" si="1"/>
        <v>0</v>
      </c>
      <c r="L37" s="32"/>
      <c r="M37" s="32">
        <f>(L37-D37)-H37-K37</f>
        <v>0</v>
      </c>
      <c r="N37" s="23">
        <f>M37-$D$6</f>
        <v>-0.31875000000000003</v>
      </c>
      <c r="O37" s="33">
        <f t="shared" si="8"/>
        <v>-1.2750000000000001</v>
      </c>
      <c r="P37" s="67">
        <f t="shared" si="6"/>
        <v>-1.2750000000000001</v>
      </c>
      <c r="Q37" s="71"/>
      <c r="R37" s="71"/>
    </row>
    <row r="38" spans="1:18" x14ac:dyDescent="0.25">
      <c r="A38" s="1"/>
      <c r="B38" s="45">
        <v>43855</v>
      </c>
      <c r="C38" s="47" t="s">
        <v>9</v>
      </c>
      <c r="D38" s="35"/>
      <c r="E38" s="35"/>
      <c r="F38" s="35"/>
      <c r="G38" s="30">
        <f t="shared" si="7"/>
        <v>0</v>
      </c>
      <c r="H38" s="30" t="b">
        <f t="shared" si="4"/>
        <v>0</v>
      </c>
      <c r="I38" s="35"/>
      <c r="J38" s="36"/>
      <c r="K38" s="35">
        <f t="shared" si="1"/>
        <v>0</v>
      </c>
      <c r="L38" s="32"/>
      <c r="M38" s="32">
        <f>(L38-D38)-H38-K38</f>
        <v>0</v>
      </c>
      <c r="N38" s="23">
        <f>M38-$D$6</f>
        <v>-0.31875000000000003</v>
      </c>
      <c r="O38" s="33">
        <f t="shared" si="8"/>
        <v>-1.5937500000000002</v>
      </c>
      <c r="P38" s="67">
        <f t="shared" si="6"/>
        <v>-1.5937500000000002</v>
      </c>
      <c r="Q38" s="71"/>
      <c r="R38" s="71"/>
    </row>
    <row r="39" spans="1:18" x14ac:dyDescent="0.25">
      <c r="A39" s="1"/>
      <c r="B39" s="46">
        <v>43856</v>
      </c>
      <c r="C39" s="48" t="s">
        <v>21</v>
      </c>
      <c r="D39" s="28"/>
      <c r="E39" s="28"/>
      <c r="F39" s="28"/>
      <c r="G39" s="34"/>
      <c r="H39" s="34"/>
      <c r="I39" s="28"/>
      <c r="J39" s="28"/>
      <c r="K39" s="28"/>
      <c r="L39" s="29"/>
      <c r="M39" s="29"/>
      <c r="N39" s="29"/>
      <c r="O39" s="29"/>
      <c r="P39" s="66"/>
      <c r="Q39" s="71"/>
      <c r="R39" s="71"/>
    </row>
    <row r="40" spans="1:18" x14ac:dyDescent="0.25">
      <c r="A40" s="1"/>
      <c r="B40" s="46">
        <v>43857</v>
      </c>
      <c r="C40" s="48" t="s">
        <v>22</v>
      </c>
      <c r="D40" s="28"/>
      <c r="E40" s="28"/>
      <c r="F40" s="28"/>
      <c r="G40" s="34"/>
      <c r="H40" s="34"/>
      <c r="I40" s="28"/>
      <c r="J40" s="28"/>
      <c r="K40" s="28"/>
      <c r="L40" s="29"/>
      <c r="M40" s="29"/>
      <c r="N40" s="29"/>
      <c r="O40" s="29"/>
      <c r="P40" s="66"/>
      <c r="Q40" s="71"/>
      <c r="R40" s="71"/>
    </row>
    <row r="41" spans="1:18" x14ac:dyDescent="0.25">
      <c r="A41" s="1"/>
      <c r="B41" s="45">
        <v>43858</v>
      </c>
      <c r="C41" s="47" t="s">
        <v>6</v>
      </c>
      <c r="D41" s="35"/>
      <c r="E41" s="35"/>
      <c r="F41" s="35"/>
      <c r="G41" s="30">
        <f t="shared" si="7"/>
        <v>0</v>
      </c>
      <c r="H41" s="30" t="b">
        <f t="shared" si="4"/>
        <v>0</v>
      </c>
      <c r="I41" s="35"/>
      <c r="J41" s="35"/>
      <c r="K41" s="35">
        <f t="shared" si="1"/>
        <v>0</v>
      </c>
      <c r="L41" s="32"/>
      <c r="M41" s="32">
        <f>(L41-D41)-H41-K41</f>
        <v>0</v>
      </c>
      <c r="N41" s="23">
        <f>M41-$D$6</f>
        <v>-0.31875000000000003</v>
      </c>
      <c r="O41" s="33">
        <f t="shared" si="8"/>
        <v>-0.31875000000000003</v>
      </c>
      <c r="P41" s="67">
        <f>N41</f>
        <v>-0.31875000000000003</v>
      </c>
      <c r="Q41" s="71"/>
      <c r="R41" s="71"/>
    </row>
    <row r="42" spans="1:18" x14ac:dyDescent="0.25">
      <c r="A42" s="1"/>
      <c r="B42" s="45">
        <v>43859</v>
      </c>
      <c r="C42" s="47" t="s">
        <v>7</v>
      </c>
      <c r="D42" s="35"/>
      <c r="E42" s="35"/>
      <c r="F42" s="35"/>
      <c r="G42" s="30">
        <f t="shared" si="7"/>
        <v>0</v>
      </c>
      <c r="H42" s="30" t="b">
        <f t="shared" si="4"/>
        <v>0</v>
      </c>
      <c r="I42" s="35"/>
      <c r="J42" s="35"/>
      <c r="K42" s="35">
        <f t="shared" si="1"/>
        <v>0</v>
      </c>
      <c r="L42" s="32"/>
      <c r="M42" s="32">
        <f>(L42-D42)-H42-K42</f>
        <v>0</v>
      </c>
      <c r="N42" s="23">
        <f>M42-$D$6</f>
        <v>-0.31875000000000003</v>
      </c>
      <c r="O42" s="33">
        <f t="shared" si="8"/>
        <v>-0.63750000000000007</v>
      </c>
      <c r="P42" s="67">
        <f>P41+N42</f>
        <v>-0.63750000000000007</v>
      </c>
      <c r="Q42" s="71"/>
      <c r="R42" s="71"/>
    </row>
    <row r="43" spans="1:18" x14ac:dyDescent="0.25">
      <c r="A43" s="1"/>
      <c r="B43" s="45">
        <v>43860</v>
      </c>
      <c r="C43" s="47" t="s">
        <v>23</v>
      </c>
      <c r="D43" s="35"/>
      <c r="E43" s="35"/>
      <c r="F43" s="35"/>
      <c r="G43" s="30">
        <f t="shared" si="7"/>
        <v>0</v>
      </c>
      <c r="H43" s="30" t="b">
        <f t="shared" si="4"/>
        <v>0</v>
      </c>
      <c r="I43" s="35"/>
      <c r="J43" s="35"/>
      <c r="K43" s="35">
        <f t="shared" si="1"/>
        <v>0</v>
      </c>
      <c r="L43" s="32"/>
      <c r="M43" s="32">
        <f>(L43-D43)-H43-K43</f>
        <v>0</v>
      </c>
      <c r="N43" s="23">
        <f>M43-$D$6</f>
        <v>-0.31875000000000003</v>
      </c>
      <c r="O43" s="33">
        <f t="shared" si="8"/>
        <v>-0.95625000000000004</v>
      </c>
      <c r="P43" s="67">
        <f t="shared" si="6"/>
        <v>-0.95625000000000004</v>
      </c>
      <c r="Q43" s="71"/>
      <c r="R43" s="71"/>
    </row>
    <row r="44" spans="1:18" x14ac:dyDescent="0.25">
      <c r="B44" s="45">
        <v>43861</v>
      </c>
      <c r="C44" s="47" t="s">
        <v>8</v>
      </c>
      <c r="D44" s="35"/>
      <c r="E44" s="35"/>
      <c r="F44" s="35"/>
      <c r="G44" s="30">
        <f t="shared" si="7"/>
        <v>0</v>
      </c>
      <c r="H44" s="30" t="b">
        <f t="shared" si="4"/>
        <v>0</v>
      </c>
      <c r="I44" s="35"/>
      <c r="J44" s="35"/>
      <c r="K44" s="35">
        <f t="shared" si="1"/>
        <v>0</v>
      </c>
      <c r="L44" s="32"/>
      <c r="M44" s="32">
        <f t="shared" ref="M44:M45" si="9">(L44-D44)-H44-K44</f>
        <v>0</v>
      </c>
      <c r="N44" s="23">
        <f t="shared" ref="N44:N107" si="10">M44-$D$6</f>
        <v>-0.31875000000000003</v>
      </c>
      <c r="O44" s="33">
        <f>O43+N44</f>
        <v>-1.2750000000000001</v>
      </c>
      <c r="P44" s="67">
        <f>P43+N44</f>
        <v>-1.2750000000000001</v>
      </c>
      <c r="Q44" s="71"/>
      <c r="R44" s="71"/>
    </row>
    <row r="45" spans="1:18" x14ac:dyDescent="0.25">
      <c r="B45" s="45">
        <v>43862</v>
      </c>
      <c r="C45" s="47" t="s">
        <v>9</v>
      </c>
      <c r="D45" s="35"/>
      <c r="E45" s="35"/>
      <c r="F45" s="35"/>
      <c r="G45" s="30">
        <f t="shared" si="7"/>
        <v>0</v>
      </c>
      <c r="H45" s="30" t="b">
        <f t="shared" si="4"/>
        <v>0</v>
      </c>
      <c r="I45" s="35"/>
      <c r="J45" s="36"/>
      <c r="K45" s="35">
        <f t="shared" si="1"/>
        <v>0</v>
      </c>
      <c r="L45" s="32"/>
      <c r="M45" s="32">
        <f t="shared" si="9"/>
        <v>0</v>
      </c>
      <c r="N45" s="23">
        <f t="shared" si="10"/>
        <v>-0.31875000000000003</v>
      </c>
      <c r="O45" s="33">
        <f t="shared" ref="O45" si="11">O44+N45</f>
        <v>-1.5937500000000002</v>
      </c>
      <c r="P45" s="67">
        <f>P44+N45</f>
        <v>-1.5937500000000002</v>
      </c>
      <c r="Q45" s="71"/>
      <c r="R45" s="71"/>
    </row>
    <row r="46" spans="1:18" x14ac:dyDescent="0.25">
      <c r="B46" s="46">
        <v>43863</v>
      </c>
      <c r="C46" s="48" t="s">
        <v>21</v>
      </c>
      <c r="D46" s="43"/>
      <c r="E46" s="43"/>
      <c r="F46" s="43"/>
      <c r="G46" s="34"/>
      <c r="H46" s="34"/>
      <c r="I46" s="28"/>
      <c r="J46" s="28"/>
      <c r="K46" s="28"/>
      <c r="L46" s="27"/>
      <c r="M46" s="27"/>
      <c r="N46" s="44"/>
      <c r="O46" s="26"/>
      <c r="P46" s="65"/>
      <c r="Q46" s="71"/>
      <c r="R46" s="71"/>
    </row>
    <row r="47" spans="1:18" x14ac:dyDescent="0.25">
      <c r="B47" s="46">
        <v>43864</v>
      </c>
      <c r="C47" s="48" t="s">
        <v>22</v>
      </c>
      <c r="D47" s="43"/>
      <c r="E47" s="43"/>
      <c r="F47" s="43"/>
      <c r="G47" s="34"/>
      <c r="H47" s="34"/>
      <c r="I47" s="28"/>
      <c r="J47" s="28"/>
      <c r="K47" s="28"/>
      <c r="L47" s="27"/>
      <c r="M47" s="27"/>
      <c r="N47" s="44"/>
      <c r="O47" s="26"/>
      <c r="P47" s="65"/>
      <c r="Q47" s="71"/>
      <c r="R47" s="71"/>
    </row>
    <row r="48" spans="1:18" x14ac:dyDescent="0.25">
      <c r="B48" s="45">
        <v>43865</v>
      </c>
      <c r="C48" s="47" t="s">
        <v>6</v>
      </c>
      <c r="D48" s="35"/>
      <c r="E48" s="35"/>
      <c r="F48" s="35"/>
      <c r="G48" s="30">
        <f t="shared" ref="G48:G111" si="12">F48-E48</f>
        <v>0</v>
      </c>
      <c r="H48" s="30" t="b">
        <f t="shared" ref="H48:H111" si="13">IF(G48&gt;$I$6,G48-$I$6)</f>
        <v>0</v>
      </c>
      <c r="I48" s="36"/>
      <c r="J48" s="36"/>
      <c r="K48" s="35">
        <f t="shared" si="1"/>
        <v>0</v>
      </c>
      <c r="L48" s="32"/>
      <c r="M48" s="32">
        <f t="shared" ref="M48:M111" si="14">(L48-D48)-H48-K48</f>
        <v>0</v>
      </c>
      <c r="N48" s="23">
        <f t="shared" si="10"/>
        <v>-0.31875000000000003</v>
      </c>
      <c r="O48" s="33">
        <f t="shared" ref="O48:O101" si="15">O47+N48</f>
        <v>-0.31875000000000003</v>
      </c>
      <c r="P48" s="67">
        <f>P47+N48</f>
        <v>-0.31875000000000003</v>
      </c>
      <c r="Q48" s="71"/>
      <c r="R48" s="71"/>
    </row>
    <row r="49" spans="2:18" x14ac:dyDescent="0.25">
      <c r="B49" s="45">
        <v>43866</v>
      </c>
      <c r="C49" s="47" t="s">
        <v>7</v>
      </c>
      <c r="D49" s="35"/>
      <c r="E49" s="35"/>
      <c r="F49" s="35"/>
      <c r="G49" s="30">
        <f t="shared" si="12"/>
        <v>0</v>
      </c>
      <c r="H49" s="30" t="b">
        <f t="shared" si="13"/>
        <v>0</v>
      </c>
      <c r="I49" s="36"/>
      <c r="J49" s="36"/>
      <c r="K49" s="35">
        <f t="shared" si="1"/>
        <v>0</v>
      </c>
      <c r="L49" s="32"/>
      <c r="M49" s="32">
        <f t="shared" si="14"/>
        <v>0</v>
      </c>
      <c r="N49" s="23">
        <f t="shared" si="10"/>
        <v>-0.31875000000000003</v>
      </c>
      <c r="O49" s="33">
        <f t="shared" si="15"/>
        <v>-0.63750000000000007</v>
      </c>
      <c r="P49" s="67">
        <f>P48+N49</f>
        <v>-0.63750000000000007</v>
      </c>
      <c r="Q49" s="71"/>
      <c r="R49" s="71"/>
    </row>
    <row r="50" spans="2:18" x14ac:dyDescent="0.25">
      <c r="B50" s="45">
        <v>43867</v>
      </c>
      <c r="C50" s="47" t="s">
        <v>23</v>
      </c>
      <c r="D50" s="35"/>
      <c r="E50" s="35"/>
      <c r="F50" s="35"/>
      <c r="G50" s="30">
        <f t="shared" si="12"/>
        <v>0</v>
      </c>
      <c r="H50" s="30" t="b">
        <f t="shared" si="13"/>
        <v>0</v>
      </c>
      <c r="I50" s="36"/>
      <c r="J50" s="36"/>
      <c r="K50" s="35">
        <f t="shared" si="1"/>
        <v>0</v>
      </c>
      <c r="L50" s="32"/>
      <c r="M50" s="32">
        <f t="shared" si="14"/>
        <v>0</v>
      </c>
      <c r="N50" s="23">
        <f t="shared" si="10"/>
        <v>-0.31875000000000003</v>
      </c>
      <c r="O50" s="33">
        <f t="shared" si="15"/>
        <v>-0.95625000000000004</v>
      </c>
      <c r="P50" s="67">
        <f>P49+N50</f>
        <v>-0.95625000000000004</v>
      </c>
      <c r="Q50" s="71"/>
      <c r="R50" s="71"/>
    </row>
    <row r="51" spans="2:18" x14ac:dyDescent="0.25">
      <c r="B51" s="45">
        <v>43868</v>
      </c>
      <c r="C51" s="47" t="s">
        <v>8</v>
      </c>
      <c r="D51" s="35"/>
      <c r="E51" s="35"/>
      <c r="F51" s="35"/>
      <c r="G51" s="30">
        <f t="shared" si="12"/>
        <v>0</v>
      </c>
      <c r="H51" s="30" t="b">
        <f t="shared" si="13"/>
        <v>0</v>
      </c>
      <c r="I51" s="36"/>
      <c r="J51" s="36"/>
      <c r="K51" s="35">
        <f t="shared" si="1"/>
        <v>0</v>
      </c>
      <c r="L51" s="32"/>
      <c r="M51" s="32">
        <f t="shared" si="14"/>
        <v>0</v>
      </c>
      <c r="N51" s="23">
        <f t="shared" si="10"/>
        <v>-0.31875000000000003</v>
      </c>
      <c r="O51" s="33">
        <f t="shared" si="15"/>
        <v>-1.2750000000000001</v>
      </c>
      <c r="P51" s="67">
        <f>P50+N51</f>
        <v>-1.2750000000000001</v>
      </c>
      <c r="Q51" s="71"/>
      <c r="R51" s="71"/>
    </row>
    <row r="52" spans="2:18" x14ac:dyDescent="0.25">
      <c r="B52" s="45">
        <v>43869</v>
      </c>
      <c r="C52" s="47" t="s">
        <v>9</v>
      </c>
      <c r="D52" s="35"/>
      <c r="E52" s="35"/>
      <c r="F52" s="35"/>
      <c r="G52" s="30">
        <f t="shared" si="12"/>
        <v>0</v>
      </c>
      <c r="H52" s="30" t="b">
        <f t="shared" si="13"/>
        <v>0</v>
      </c>
      <c r="I52" s="36"/>
      <c r="J52" s="36"/>
      <c r="K52" s="35">
        <f t="shared" si="1"/>
        <v>0</v>
      </c>
      <c r="L52" s="32"/>
      <c r="M52" s="32">
        <f t="shared" si="14"/>
        <v>0</v>
      </c>
      <c r="N52" s="23">
        <f t="shared" si="10"/>
        <v>-0.31875000000000003</v>
      </c>
      <c r="O52" s="33">
        <f t="shared" si="15"/>
        <v>-1.5937500000000002</v>
      </c>
      <c r="P52" s="67">
        <f>P51+N52</f>
        <v>-1.5937500000000002</v>
      </c>
      <c r="Q52" s="71"/>
      <c r="R52" s="71"/>
    </row>
    <row r="53" spans="2:18" x14ac:dyDescent="0.25">
      <c r="B53" s="46">
        <v>43870</v>
      </c>
      <c r="C53" s="48" t="s">
        <v>21</v>
      </c>
      <c r="D53" s="43"/>
      <c r="E53" s="43"/>
      <c r="F53" s="43"/>
      <c r="G53" s="34"/>
      <c r="H53" s="34"/>
      <c r="I53" s="28"/>
      <c r="J53" s="28"/>
      <c r="K53" s="43"/>
      <c r="L53" s="27"/>
      <c r="M53" s="27"/>
      <c r="N53" s="44"/>
      <c r="O53" s="26"/>
      <c r="P53" s="65"/>
      <c r="Q53" s="71"/>
      <c r="R53" s="71"/>
    </row>
    <row r="54" spans="2:18" x14ac:dyDescent="0.25">
      <c r="B54" s="46">
        <v>43871</v>
      </c>
      <c r="C54" s="48" t="s">
        <v>22</v>
      </c>
      <c r="D54" s="43"/>
      <c r="E54" s="43"/>
      <c r="F54" s="43"/>
      <c r="G54" s="34"/>
      <c r="H54" s="34"/>
      <c r="I54" s="28"/>
      <c r="J54" s="28"/>
      <c r="K54" s="43"/>
      <c r="L54" s="27"/>
      <c r="M54" s="27"/>
      <c r="N54" s="44"/>
      <c r="O54" s="26"/>
      <c r="P54" s="65"/>
      <c r="Q54" s="71"/>
      <c r="R54" s="71"/>
    </row>
    <row r="55" spans="2:18" x14ac:dyDescent="0.25">
      <c r="B55" s="45">
        <v>43872</v>
      </c>
      <c r="C55" s="47" t="s">
        <v>6</v>
      </c>
      <c r="D55" s="35"/>
      <c r="E55" s="35"/>
      <c r="F55" s="35"/>
      <c r="G55" s="30">
        <f t="shared" si="12"/>
        <v>0</v>
      </c>
      <c r="H55" s="30" t="b">
        <f t="shared" si="13"/>
        <v>0</v>
      </c>
      <c r="I55" s="36"/>
      <c r="J55" s="36"/>
      <c r="K55" s="35">
        <f t="shared" si="1"/>
        <v>0</v>
      </c>
      <c r="L55" s="32"/>
      <c r="M55" s="32">
        <f t="shared" si="14"/>
        <v>0</v>
      </c>
      <c r="N55" s="23">
        <f t="shared" si="10"/>
        <v>-0.31875000000000003</v>
      </c>
      <c r="O55" s="33">
        <f t="shared" si="15"/>
        <v>-0.31875000000000003</v>
      </c>
      <c r="P55" s="67">
        <f>P54+N55</f>
        <v>-0.31875000000000003</v>
      </c>
      <c r="Q55" s="71"/>
      <c r="R55" s="71"/>
    </row>
    <row r="56" spans="2:18" x14ac:dyDescent="0.25">
      <c r="B56" s="45">
        <v>43873</v>
      </c>
      <c r="C56" s="47" t="s">
        <v>7</v>
      </c>
      <c r="D56" s="35"/>
      <c r="E56" s="35"/>
      <c r="F56" s="35"/>
      <c r="G56" s="30">
        <f t="shared" si="12"/>
        <v>0</v>
      </c>
      <c r="H56" s="30" t="b">
        <f t="shared" si="13"/>
        <v>0</v>
      </c>
      <c r="I56" s="36"/>
      <c r="J56" s="36"/>
      <c r="K56" s="35">
        <f t="shared" si="1"/>
        <v>0</v>
      </c>
      <c r="L56" s="32"/>
      <c r="M56" s="32">
        <f t="shared" si="14"/>
        <v>0</v>
      </c>
      <c r="N56" s="23">
        <f t="shared" si="10"/>
        <v>-0.31875000000000003</v>
      </c>
      <c r="O56" s="33">
        <f t="shared" si="15"/>
        <v>-0.63750000000000007</v>
      </c>
      <c r="P56" s="67">
        <f>P55+N56</f>
        <v>-0.63750000000000007</v>
      </c>
      <c r="Q56" s="71"/>
      <c r="R56" s="71"/>
    </row>
    <row r="57" spans="2:18" x14ac:dyDescent="0.25">
      <c r="B57" s="45">
        <v>43874</v>
      </c>
      <c r="C57" s="47" t="s">
        <v>23</v>
      </c>
      <c r="D57" s="35"/>
      <c r="E57" s="35"/>
      <c r="F57" s="35"/>
      <c r="G57" s="30">
        <f t="shared" si="12"/>
        <v>0</v>
      </c>
      <c r="H57" s="30" t="b">
        <f t="shared" si="13"/>
        <v>0</v>
      </c>
      <c r="I57" s="36"/>
      <c r="J57" s="36"/>
      <c r="K57" s="35">
        <f t="shared" si="1"/>
        <v>0</v>
      </c>
      <c r="L57" s="32"/>
      <c r="M57" s="32">
        <f t="shared" si="14"/>
        <v>0</v>
      </c>
      <c r="N57" s="23">
        <f t="shared" si="10"/>
        <v>-0.31875000000000003</v>
      </c>
      <c r="O57" s="33">
        <f t="shared" si="15"/>
        <v>-0.95625000000000004</v>
      </c>
      <c r="P57" s="67">
        <f>P56+N57</f>
        <v>-0.95625000000000004</v>
      </c>
      <c r="Q57" s="71"/>
      <c r="R57" s="71"/>
    </row>
    <row r="58" spans="2:18" x14ac:dyDescent="0.25">
      <c r="B58" s="45">
        <v>43875</v>
      </c>
      <c r="C58" s="47" t="s">
        <v>8</v>
      </c>
      <c r="D58" s="35"/>
      <c r="E58" s="35"/>
      <c r="F58" s="35"/>
      <c r="G58" s="30">
        <f t="shared" si="12"/>
        <v>0</v>
      </c>
      <c r="H58" s="30" t="b">
        <f t="shared" si="13"/>
        <v>0</v>
      </c>
      <c r="I58" s="36"/>
      <c r="J58" s="36"/>
      <c r="K58" s="35">
        <f t="shared" si="1"/>
        <v>0</v>
      </c>
      <c r="L58" s="32"/>
      <c r="M58" s="32">
        <f t="shared" si="14"/>
        <v>0</v>
      </c>
      <c r="N58" s="23">
        <f t="shared" si="10"/>
        <v>-0.31875000000000003</v>
      </c>
      <c r="O58" s="33">
        <f t="shared" si="15"/>
        <v>-1.2750000000000001</v>
      </c>
      <c r="P58" s="67">
        <f>P57+N58</f>
        <v>-1.2750000000000001</v>
      </c>
      <c r="Q58" s="71"/>
      <c r="R58" s="71"/>
    </row>
    <row r="59" spans="2:18" x14ac:dyDescent="0.25">
      <c r="B59" s="45">
        <v>43876</v>
      </c>
      <c r="C59" s="47" t="s">
        <v>9</v>
      </c>
      <c r="D59" s="35"/>
      <c r="E59" s="35"/>
      <c r="F59" s="35"/>
      <c r="G59" s="30">
        <f t="shared" si="12"/>
        <v>0</v>
      </c>
      <c r="H59" s="30" t="b">
        <f t="shared" si="13"/>
        <v>0</v>
      </c>
      <c r="I59" s="36"/>
      <c r="J59" s="36"/>
      <c r="K59" s="35">
        <f t="shared" si="1"/>
        <v>0</v>
      </c>
      <c r="L59" s="32"/>
      <c r="M59" s="32">
        <f t="shared" si="14"/>
        <v>0</v>
      </c>
      <c r="N59" s="23">
        <f t="shared" si="10"/>
        <v>-0.31875000000000003</v>
      </c>
      <c r="O59" s="33">
        <f t="shared" si="15"/>
        <v>-1.5937500000000002</v>
      </c>
      <c r="P59" s="67">
        <f>P58+N59</f>
        <v>-1.5937500000000002</v>
      </c>
      <c r="Q59" s="71"/>
      <c r="R59" s="71"/>
    </row>
    <row r="60" spans="2:18" x14ac:dyDescent="0.25">
      <c r="B60" s="46">
        <v>43877</v>
      </c>
      <c r="C60" s="48" t="s">
        <v>21</v>
      </c>
      <c r="D60" s="43"/>
      <c r="E60" s="43"/>
      <c r="F60" s="43"/>
      <c r="G60" s="34"/>
      <c r="H60" s="34"/>
      <c r="I60" s="28"/>
      <c r="J60" s="28"/>
      <c r="K60" s="43"/>
      <c r="L60" s="27"/>
      <c r="M60" s="27"/>
      <c r="N60" s="44"/>
      <c r="O60" s="26"/>
      <c r="P60" s="65"/>
      <c r="Q60" s="71"/>
      <c r="R60" s="71"/>
    </row>
    <row r="61" spans="2:18" x14ac:dyDescent="0.25">
      <c r="B61" s="46">
        <v>43878</v>
      </c>
      <c r="C61" s="48" t="s">
        <v>22</v>
      </c>
      <c r="D61" s="43"/>
      <c r="E61" s="43"/>
      <c r="F61" s="43"/>
      <c r="G61" s="34"/>
      <c r="H61" s="34"/>
      <c r="I61" s="28"/>
      <c r="J61" s="28"/>
      <c r="K61" s="43"/>
      <c r="L61" s="27"/>
      <c r="M61" s="27"/>
      <c r="N61" s="44"/>
      <c r="O61" s="26"/>
      <c r="P61" s="65"/>
      <c r="Q61" s="71"/>
      <c r="R61" s="71"/>
    </row>
    <row r="62" spans="2:18" x14ac:dyDescent="0.25">
      <c r="B62" s="45">
        <v>43879</v>
      </c>
      <c r="C62" s="47" t="s">
        <v>6</v>
      </c>
      <c r="D62" s="35"/>
      <c r="E62" s="35"/>
      <c r="F62" s="35"/>
      <c r="G62" s="30">
        <f t="shared" si="12"/>
        <v>0</v>
      </c>
      <c r="H62" s="30" t="b">
        <f t="shared" si="13"/>
        <v>0</v>
      </c>
      <c r="I62" s="36"/>
      <c r="J62" s="36"/>
      <c r="K62" s="35">
        <f t="shared" si="1"/>
        <v>0</v>
      </c>
      <c r="L62" s="32"/>
      <c r="M62" s="32">
        <f t="shared" si="14"/>
        <v>0</v>
      </c>
      <c r="N62" s="23">
        <f t="shared" si="10"/>
        <v>-0.31875000000000003</v>
      </c>
      <c r="O62" s="33">
        <f t="shared" si="15"/>
        <v>-0.31875000000000003</v>
      </c>
      <c r="P62" s="67">
        <f>P61+N62</f>
        <v>-0.31875000000000003</v>
      </c>
      <c r="Q62" s="71"/>
      <c r="R62" s="71"/>
    </row>
    <row r="63" spans="2:18" x14ac:dyDescent="0.25">
      <c r="B63" s="45">
        <v>43880</v>
      </c>
      <c r="C63" s="47" t="s">
        <v>7</v>
      </c>
      <c r="D63" s="35"/>
      <c r="E63" s="35"/>
      <c r="F63" s="35"/>
      <c r="G63" s="30">
        <f t="shared" si="12"/>
        <v>0</v>
      </c>
      <c r="H63" s="30" t="b">
        <f t="shared" si="13"/>
        <v>0</v>
      </c>
      <c r="I63" s="36"/>
      <c r="J63" s="36"/>
      <c r="K63" s="35">
        <f t="shared" si="1"/>
        <v>0</v>
      </c>
      <c r="L63" s="32"/>
      <c r="M63" s="32">
        <f t="shared" si="14"/>
        <v>0</v>
      </c>
      <c r="N63" s="23">
        <f t="shared" si="10"/>
        <v>-0.31875000000000003</v>
      </c>
      <c r="O63" s="33">
        <f t="shared" si="15"/>
        <v>-0.63750000000000007</v>
      </c>
      <c r="P63" s="67">
        <f>P62+N63</f>
        <v>-0.63750000000000007</v>
      </c>
      <c r="Q63" s="71"/>
      <c r="R63" s="71"/>
    </row>
    <row r="64" spans="2:18" x14ac:dyDescent="0.25">
      <c r="B64" s="45">
        <v>43881</v>
      </c>
      <c r="C64" s="47" t="s">
        <v>23</v>
      </c>
      <c r="D64" s="35"/>
      <c r="E64" s="35"/>
      <c r="F64" s="35"/>
      <c r="G64" s="30">
        <f t="shared" si="12"/>
        <v>0</v>
      </c>
      <c r="H64" s="30" t="b">
        <f t="shared" si="13"/>
        <v>0</v>
      </c>
      <c r="I64" s="36"/>
      <c r="J64" s="36"/>
      <c r="K64" s="35">
        <f t="shared" si="1"/>
        <v>0</v>
      </c>
      <c r="L64" s="32"/>
      <c r="M64" s="32">
        <f t="shared" si="14"/>
        <v>0</v>
      </c>
      <c r="N64" s="23">
        <f t="shared" si="10"/>
        <v>-0.31875000000000003</v>
      </c>
      <c r="O64" s="33">
        <f t="shared" si="15"/>
        <v>-0.95625000000000004</v>
      </c>
      <c r="P64" s="67">
        <f>P63+N64</f>
        <v>-0.95625000000000004</v>
      </c>
      <c r="Q64" s="71"/>
      <c r="R64" s="71"/>
    </row>
    <row r="65" spans="2:18" x14ac:dyDescent="0.25">
      <c r="B65" s="45">
        <v>43882</v>
      </c>
      <c r="C65" s="47" t="s">
        <v>8</v>
      </c>
      <c r="D65" s="35"/>
      <c r="E65" s="35"/>
      <c r="F65" s="35"/>
      <c r="G65" s="30">
        <f t="shared" si="12"/>
        <v>0</v>
      </c>
      <c r="H65" s="30" t="b">
        <f t="shared" si="13"/>
        <v>0</v>
      </c>
      <c r="I65" s="36"/>
      <c r="J65" s="36"/>
      <c r="K65" s="35">
        <f t="shared" si="1"/>
        <v>0</v>
      </c>
      <c r="L65" s="32"/>
      <c r="M65" s="32">
        <f t="shared" si="14"/>
        <v>0</v>
      </c>
      <c r="N65" s="23">
        <f t="shared" si="10"/>
        <v>-0.31875000000000003</v>
      </c>
      <c r="O65" s="33">
        <f t="shared" si="15"/>
        <v>-1.2750000000000001</v>
      </c>
      <c r="P65" s="67">
        <f>P64+N65</f>
        <v>-1.2750000000000001</v>
      </c>
      <c r="Q65" s="71"/>
      <c r="R65" s="71"/>
    </row>
    <row r="66" spans="2:18" x14ac:dyDescent="0.25">
      <c r="B66" s="45">
        <v>43883</v>
      </c>
      <c r="C66" s="47" t="s">
        <v>9</v>
      </c>
      <c r="D66" s="35"/>
      <c r="E66" s="35"/>
      <c r="F66" s="35"/>
      <c r="G66" s="30">
        <f t="shared" si="12"/>
        <v>0</v>
      </c>
      <c r="H66" s="30" t="b">
        <f t="shared" si="13"/>
        <v>0</v>
      </c>
      <c r="I66" s="36"/>
      <c r="J66" s="36"/>
      <c r="K66" s="35">
        <f t="shared" si="1"/>
        <v>0</v>
      </c>
      <c r="L66" s="32"/>
      <c r="M66" s="32">
        <f t="shared" si="14"/>
        <v>0</v>
      </c>
      <c r="N66" s="23">
        <f t="shared" si="10"/>
        <v>-0.31875000000000003</v>
      </c>
      <c r="O66" s="33">
        <f t="shared" si="15"/>
        <v>-1.5937500000000002</v>
      </c>
      <c r="P66" s="67">
        <f>P65+N66</f>
        <v>-1.5937500000000002</v>
      </c>
      <c r="Q66" s="71"/>
      <c r="R66" s="71"/>
    </row>
    <row r="67" spans="2:18" x14ac:dyDescent="0.25">
      <c r="B67" s="46">
        <v>43884</v>
      </c>
      <c r="C67" s="48" t="s">
        <v>21</v>
      </c>
      <c r="D67" s="43"/>
      <c r="E67" s="43"/>
      <c r="F67" s="43"/>
      <c r="G67" s="34"/>
      <c r="H67" s="34"/>
      <c r="I67" s="28"/>
      <c r="J67" s="28"/>
      <c r="K67" s="43"/>
      <c r="L67" s="27"/>
      <c r="M67" s="27"/>
      <c r="N67" s="44"/>
      <c r="O67" s="26"/>
      <c r="P67" s="65"/>
      <c r="Q67" s="71"/>
      <c r="R67" s="71"/>
    </row>
    <row r="68" spans="2:18" x14ac:dyDescent="0.25">
      <c r="B68" s="46">
        <v>43885</v>
      </c>
      <c r="C68" s="48" t="s">
        <v>22</v>
      </c>
      <c r="D68" s="43"/>
      <c r="E68" s="43"/>
      <c r="F68" s="43"/>
      <c r="G68" s="34"/>
      <c r="H68" s="34"/>
      <c r="I68" s="28"/>
      <c r="J68" s="28"/>
      <c r="K68" s="43"/>
      <c r="L68" s="27"/>
      <c r="M68" s="27"/>
      <c r="N68" s="44"/>
      <c r="O68" s="26"/>
      <c r="P68" s="65"/>
      <c r="Q68" s="71"/>
      <c r="R68" s="71"/>
    </row>
    <row r="69" spans="2:18" x14ac:dyDescent="0.25">
      <c r="B69" s="45">
        <v>43886</v>
      </c>
      <c r="C69" s="47" t="s">
        <v>6</v>
      </c>
      <c r="D69" s="35"/>
      <c r="E69" s="35"/>
      <c r="F69" s="35"/>
      <c r="G69" s="30">
        <f t="shared" si="12"/>
        <v>0</v>
      </c>
      <c r="H69" s="30" t="b">
        <f t="shared" si="13"/>
        <v>0</v>
      </c>
      <c r="I69" s="36"/>
      <c r="J69" s="36"/>
      <c r="K69" s="35">
        <f t="shared" si="1"/>
        <v>0</v>
      </c>
      <c r="L69" s="32"/>
      <c r="M69" s="32">
        <f t="shared" si="14"/>
        <v>0</v>
      </c>
      <c r="N69" s="23">
        <f t="shared" si="10"/>
        <v>-0.31875000000000003</v>
      </c>
      <c r="O69" s="33">
        <f t="shared" si="15"/>
        <v>-0.31875000000000003</v>
      </c>
      <c r="P69" s="67">
        <f>P68+N69</f>
        <v>-0.31875000000000003</v>
      </c>
      <c r="Q69" s="71"/>
      <c r="R69" s="71"/>
    </row>
    <row r="70" spans="2:18" x14ac:dyDescent="0.25">
      <c r="B70" s="45">
        <v>43887</v>
      </c>
      <c r="C70" s="47" t="s">
        <v>7</v>
      </c>
      <c r="D70" s="35"/>
      <c r="E70" s="35"/>
      <c r="F70" s="35"/>
      <c r="G70" s="30">
        <f t="shared" si="12"/>
        <v>0</v>
      </c>
      <c r="H70" s="30" t="b">
        <f t="shared" si="13"/>
        <v>0</v>
      </c>
      <c r="I70" s="36"/>
      <c r="J70" s="36"/>
      <c r="K70" s="35">
        <f t="shared" si="1"/>
        <v>0</v>
      </c>
      <c r="L70" s="32"/>
      <c r="M70" s="32">
        <f t="shared" si="14"/>
        <v>0</v>
      </c>
      <c r="N70" s="23">
        <f t="shared" si="10"/>
        <v>-0.31875000000000003</v>
      </c>
      <c r="O70" s="33">
        <f t="shared" si="15"/>
        <v>-0.63750000000000007</v>
      </c>
      <c r="P70" s="67">
        <f>P69+N70</f>
        <v>-0.63750000000000007</v>
      </c>
      <c r="Q70" s="71"/>
      <c r="R70" s="71"/>
    </row>
    <row r="71" spans="2:18" x14ac:dyDescent="0.25">
      <c r="B71" s="45">
        <v>43888</v>
      </c>
      <c r="C71" s="47" t="s">
        <v>23</v>
      </c>
      <c r="D71" s="35"/>
      <c r="E71" s="35"/>
      <c r="F71" s="35"/>
      <c r="G71" s="30">
        <f t="shared" si="12"/>
        <v>0</v>
      </c>
      <c r="H71" s="30" t="b">
        <f t="shared" si="13"/>
        <v>0</v>
      </c>
      <c r="I71" s="36"/>
      <c r="J71" s="36"/>
      <c r="K71" s="35">
        <f t="shared" si="1"/>
        <v>0</v>
      </c>
      <c r="L71" s="32"/>
      <c r="M71" s="32">
        <f t="shared" si="14"/>
        <v>0</v>
      </c>
      <c r="N71" s="23">
        <f t="shared" si="10"/>
        <v>-0.31875000000000003</v>
      </c>
      <c r="O71" s="33">
        <f t="shared" si="15"/>
        <v>-0.95625000000000004</v>
      </c>
      <c r="P71" s="67">
        <f>P70+N71</f>
        <v>-0.95625000000000004</v>
      </c>
      <c r="Q71" s="71"/>
      <c r="R71" s="71"/>
    </row>
    <row r="72" spans="2:18" x14ac:dyDescent="0.25">
      <c r="B72" s="45">
        <v>43889</v>
      </c>
      <c r="C72" s="47" t="s">
        <v>8</v>
      </c>
      <c r="D72" s="35"/>
      <c r="E72" s="35"/>
      <c r="F72" s="35"/>
      <c r="G72" s="30">
        <f t="shared" si="12"/>
        <v>0</v>
      </c>
      <c r="H72" s="30" t="b">
        <f t="shared" si="13"/>
        <v>0</v>
      </c>
      <c r="I72" s="36"/>
      <c r="J72" s="36"/>
      <c r="K72" s="35">
        <f t="shared" si="1"/>
        <v>0</v>
      </c>
      <c r="L72" s="32"/>
      <c r="M72" s="32">
        <f t="shared" si="14"/>
        <v>0</v>
      </c>
      <c r="N72" s="23">
        <f t="shared" si="10"/>
        <v>-0.31875000000000003</v>
      </c>
      <c r="O72" s="33">
        <f t="shared" si="15"/>
        <v>-1.2750000000000001</v>
      </c>
      <c r="P72" s="67">
        <f>P71+N72</f>
        <v>-1.2750000000000001</v>
      </c>
      <c r="Q72" s="71"/>
      <c r="R72" s="71"/>
    </row>
    <row r="73" spans="2:18" x14ac:dyDescent="0.25">
      <c r="B73" s="45">
        <v>43890</v>
      </c>
      <c r="C73" s="47" t="s">
        <v>9</v>
      </c>
      <c r="D73" s="35"/>
      <c r="E73" s="35"/>
      <c r="F73" s="35"/>
      <c r="G73" s="30">
        <f t="shared" si="12"/>
        <v>0</v>
      </c>
      <c r="H73" s="30" t="b">
        <f t="shared" si="13"/>
        <v>0</v>
      </c>
      <c r="I73" s="36"/>
      <c r="J73" s="36"/>
      <c r="K73" s="35">
        <f t="shared" si="1"/>
        <v>0</v>
      </c>
      <c r="L73" s="32"/>
      <c r="M73" s="32">
        <f t="shared" si="14"/>
        <v>0</v>
      </c>
      <c r="N73" s="23">
        <f t="shared" si="10"/>
        <v>-0.31875000000000003</v>
      </c>
      <c r="O73" s="33">
        <f>O72+N73</f>
        <v>-1.5937500000000002</v>
      </c>
      <c r="P73" s="67">
        <f>P72+N73</f>
        <v>-1.5937500000000002</v>
      </c>
      <c r="Q73" s="71"/>
      <c r="R73" s="71"/>
    </row>
    <row r="74" spans="2:18" x14ac:dyDescent="0.25">
      <c r="B74" s="46">
        <v>43891</v>
      </c>
      <c r="C74" s="48" t="s">
        <v>21</v>
      </c>
      <c r="D74" s="43"/>
      <c r="E74" s="43"/>
      <c r="F74" s="43"/>
      <c r="G74" s="34"/>
      <c r="H74" s="34"/>
      <c r="I74" s="28"/>
      <c r="J74" s="28"/>
      <c r="K74" s="43"/>
      <c r="L74" s="27"/>
      <c r="M74" s="27"/>
      <c r="N74" s="44"/>
      <c r="O74" s="26"/>
      <c r="P74" s="65"/>
      <c r="Q74" s="71"/>
      <c r="R74" s="71"/>
    </row>
    <row r="75" spans="2:18" x14ac:dyDescent="0.25">
      <c r="B75" s="46">
        <v>43892</v>
      </c>
      <c r="C75" s="48" t="s">
        <v>22</v>
      </c>
      <c r="D75" s="43"/>
      <c r="E75" s="43"/>
      <c r="F75" s="43"/>
      <c r="G75" s="34"/>
      <c r="H75" s="34"/>
      <c r="I75" s="28"/>
      <c r="J75" s="28"/>
      <c r="K75" s="43"/>
      <c r="L75" s="27"/>
      <c r="M75" s="27"/>
      <c r="N75" s="44"/>
      <c r="O75" s="26"/>
      <c r="P75" s="65"/>
      <c r="Q75" s="71"/>
      <c r="R75" s="71"/>
    </row>
    <row r="76" spans="2:18" x14ac:dyDescent="0.25">
      <c r="B76" s="45">
        <v>43893</v>
      </c>
      <c r="C76" s="47" t="s">
        <v>6</v>
      </c>
      <c r="D76" s="35"/>
      <c r="E76" s="35"/>
      <c r="F76" s="35"/>
      <c r="G76" s="30">
        <f t="shared" si="12"/>
        <v>0</v>
      </c>
      <c r="H76" s="30" t="b">
        <f t="shared" si="13"/>
        <v>0</v>
      </c>
      <c r="I76" s="36"/>
      <c r="J76" s="36"/>
      <c r="K76" s="35">
        <f t="shared" si="1"/>
        <v>0</v>
      </c>
      <c r="L76" s="32"/>
      <c r="M76" s="32">
        <f t="shared" si="14"/>
        <v>0</v>
      </c>
      <c r="N76" s="23">
        <f t="shared" si="10"/>
        <v>-0.31875000000000003</v>
      </c>
      <c r="O76" s="33">
        <f t="shared" si="15"/>
        <v>-0.31875000000000003</v>
      </c>
      <c r="P76" s="67">
        <f>P75+N76</f>
        <v>-0.31875000000000003</v>
      </c>
      <c r="Q76" s="71"/>
      <c r="R76" s="71"/>
    </row>
    <row r="77" spans="2:18" x14ac:dyDescent="0.25">
      <c r="B77" s="45">
        <v>43894</v>
      </c>
      <c r="C77" s="47" t="s">
        <v>7</v>
      </c>
      <c r="D77" s="35"/>
      <c r="E77" s="35"/>
      <c r="F77" s="35"/>
      <c r="G77" s="30">
        <f t="shared" si="12"/>
        <v>0</v>
      </c>
      <c r="H77" s="30" t="b">
        <f t="shared" si="13"/>
        <v>0</v>
      </c>
      <c r="I77" s="36"/>
      <c r="J77" s="36"/>
      <c r="K77" s="35">
        <f t="shared" ref="K77:K115" si="16">J77-I77</f>
        <v>0</v>
      </c>
      <c r="L77" s="32"/>
      <c r="M77" s="32">
        <f t="shared" si="14"/>
        <v>0</v>
      </c>
      <c r="N77" s="23">
        <f t="shared" si="10"/>
        <v>-0.31875000000000003</v>
      </c>
      <c r="O77" s="33">
        <f t="shared" si="15"/>
        <v>-0.63750000000000007</v>
      </c>
      <c r="P77" s="67">
        <f>P76+N77</f>
        <v>-0.63750000000000007</v>
      </c>
      <c r="Q77" s="71"/>
      <c r="R77" s="71"/>
    </row>
    <row r="78" spans="2:18" x14ac:dyDescent="0.25">
      <c r="B78" s="45">
        <v>43895</v>
      </c>
      <c r="C78" s="47" t="s">
        <v>23</v>
      </c>
      <c r="D78" s="35"/>
      <c r="E78" s="35"/>
      <c r="F78" s="35"/>
      <c r="G78" s="30">
        <f t="shared" si="12"/>
        <v>0</v>
      </c>
      <c r="H78" s="30" t="b">
        <f t="shared" si="13"/>
        <v>0</v>
      </c>
      <c r="I78" s="36"/>
      <c r="J78" s="36"/>
      <c r="K78" s="35">
        <f t="shared" si="16"/>
        <v>0</v>
      </c>
      <c r="L78" s="32"/>
      <c r="M78" s="32">
        <f t="shared" si="14"/>
        <v>0</v>
      </c>
      <c r="N78" s="23">
        <f t="shared" si="10"/>
        <v>-0.31875000000000003</v>
      </c>
      <c r="O78" s="33">
        <f t="shared" si="15"/>
        <v>-0.95625000000000004</v>
      </c>
      <c r="P78" s="67">
        <f>P77+N78</f>
        <v>-0.95625000000000004</v>
      </c>
      <c r="Q78" s="71"/>
      <c r="R78" s="71"/>
    </row>
    <row r="79" spans="2:18" x14ac:dyDescent="0.25">
      <c r="B79" s="45">
        <v>43896</v>
      </c>
      <c r="C79" s="47" t="s">
        <v>8</v>
      </c>
      <c r="D79" s="35"/>
      <c r="E79" s="35"/>
      <c r="F79" s="35"/>
      <c r="G79" s="30">
        <f t="shared" si="12"/>
        <v>0</v>
      </c>
      <c r="H79" s="30" t="b">
        <f t="shared" si="13"/>
        <v>0</v>
      </c>
      <c r="I79" s="36"/>
      <c r="J79" s="36"/>
      <c r="K79" s="35">
        <f t="shared" si="16"/>
        <v>0</v>
      </c>
      <c r="L79" s="32"/>
      <c r="M79" s="32">
        <f t="shared" si="14"/>
        <v>0</v>
      </c>
      <c r="N79" s="23">
        <f t="shared" si="10"/>
        <v>-0.31875000000000003</v>
      </c>
      <c r="O79" s="33">
        <f t="shared" si="15"/>
        <v>-1.2750000000000001</v>
      </c>
      <c r="P79" s="67">
        <f>P78+N79</f>
        <v>-1.2750000000000001</v>
      </c>
      <c r="Q79" s="71"/>
      <c r="R79" s="71"/>
    </row>
    <row r="80" spans="2:18" x14ac:dyDescent="0.25">
      <c r="B80" s="45">
        <v>43897</v>
      </c>
      <c r="C80" s="47" t="s">
        <v>9</v>
      </c>
      <c r="D80" s="35"/>
      <c r="E80" s="35"/>
      <c r="F80" s="35"/>
      <c r="G80" s="30">
        <f t="shared" si="12"/>
        <v>0</v>
      </c>
      <c r="H80" s="30" t="b">
        <f t="shared" si="13"/>
        <v>0</v>
      </c>
      <c r="I80" s="36"/>
      <c r="J80" s="36"/>
      <c r="K80" s="35">
        <f t="shared" si="16"/>
        <v>0</v>
      </c>
      <c r="L80" s="32"/>
      <c r="M80" s="32">
        <f t="shared" si="14"/>
        <v>0</v>
      </c>
      <c r="N80" s="23">
        <f t="shared" si="10"/>
        <v>-0.31875000000000003</v>
      </c>
      <c r="O80" s="33">
        <f t="shared" si="15"/>
        <v>-1.5937500000000002</v>
      </c>
      <c r="P80" s="67">
        <f>P79+N80</f>
        <v>-1.5937500000000002</v>
      </c>
      <c r="Q80" s="71"/>
      <c r="R80" s="71"/>
    </row>
    <row r="81" spans="2:18" x14ac:dyDescent="0.25">
      <c r="B81" s="46">
        <v>43898</v>
      </c>
      <c r="C81" s="48" t="s">
        <v>21</v>
      </c>
      <c r="D81" s="43"/>
      <c r="E81" s="43"/>
      <c r="F81" s="43"/>
      <c r="G81" s="34"/>
      <c r="H81" s="34"/>
      <c r="I81" s="28"/>
      <c r="J81" s="28"/>
      <c r="K81" s="43"/>
      <c r="L81" s="27"/>
      <c r="M81" s="27"/>
      <c r="N81" s="44"/>
      <c r="O81" s="26"/>
      <c r="P81" s="65"/>
      <c r="Q81" s="71"/>
      <c r="R81" s="71"/>
    </row>
    <row r="82" spans="2:18" x14ac:dyDescent="0.25">
      <c r="B82" s="46">
        <v>43899</v>
      </c>
      <c r="C82" s="48" t="s">
        <v>22</v>
      </c>
      <c r="D82" s="43"/>
      <c r="E82" s="43"/>
      <c r="F82" s="43"/>
      <c r="G82" s="34"/>
      <c r="H82" s="34"/>
      <c r="I82" s="28"/>
      <c r="J82" s="28"/>
      <c r="K82" s="43"/>
      <c r="L82" s="27"/>
      <c r="M82" s="27"/>
      <c r="N82" s="44"/>
      <c r="O82" s="26"/>
      <c r="P82" s="65"/>
      <c r="Q82" s="71"/>
      <c r="R82" s="71"/>
    </row>
    <row r="83" spans="2:18" x14ac:dyDescent="0.25">
      <c r="B83" s="45">
        <v>43900</v>
      </c>
      <c r="C83" s="47" t="s">
        <v>6</v>
      </c>
      <c r="D83" s="35"/>
      <c r="E83" s="35"/>
      <c r="F83" s="35"/>
      <c r="G83" s="30">
        <f t="shared" si="12"/>
        <v>0</v>
      </c>
      <c r="H83" s="30" t="b">
        <f t="shared" si="13"/>
        <v>0</v>
      </c>
      <c r="I83" s="36"/>
      <c r="J83" s="36"/>
      <c r="K83" s="35">
        <f t="shared" si="16"/>
        <v>0</v>
      </c>
      <c r="L83" s="32"/>
      <c r="M83" s="32">
        <f t="shared" si="14"/>
        <v>0</v>
      </c>
      <c r="N83" s="23">
        <f t="shared" si="10"/>
        <v>-0.31875000000000003</v>
      </c>
      <c r="O83" s="33">
        <f t="shared" si="15"/>
        <v>-0.31875000000000003</v>
      </c>
      <c r="P83" s="67">
        <f>P82+N83</f>
        <v>-0.31875000000000003</v>
      </c>
      <c r="Q83" s="71"/>
      <c r="R83" s="71"/>
    </row>
    <row r="84" spans="2:18" x14ac:dyDescent="0.25">
      <c r="B84" s="45">
        <v>43901</v>
      </c>
      <c r="C84" s="47" t="s">
        <v>7</v>
      </c>
      <c r="D84" s="35"/>
      <c r="E84" s="35"/>
      <c r="F84" s="35"/>
      <c r="G84" s="30">
        <f t="shared" si="12"/>
        <v>0</v>
      </c>
      <c r="H84" s="30" t="b">
        <f t="shared" si="13"/>
        <v>0</v>
      </c>
      <c r="I84" s="36"/>
      <c r="J84" s="36"/>
      <c r="K84" s="35">
        <f t="shared" si="16"/>
        <v>0</v>
      </c>
      <c r="L84" s="32"/>
      <c r="M84" s="32">
        <f t="shared" si="14"/>
        <v>0</v>
      </c>
      <c r="N84" s="23">
        <f t="shared" si="10"/>
        <v>-0.31875000000000003</v>
      </c>
      <c r="O84" s="33">
        <f t="shared" si="15"/>
        <v>-0.63750000000000007</v>
      </c>
      <c r="P84" s="67">
        <f>P83+N84</f>
        <v>-0.63750000000000007</v>
      </c>
      <c r="Q84" s="71"/>
      <c r="R84" s="71"/>
    </row>
    <row r="85" spans="2:18" x14ac:dyDescent="0.25">
      <c r="B85" s="45">
        <v>43902</v>
      </c>
      <c r="C85" s="47" t="s">
        <v>23</v>
      </c>
      <c r="D85" s="35"/>
      <c r="E85" s="35"/>
      <c r="F85" s="35"/>
      <c r="G85" s="30">
        <f t="shared" si="12"/>
        <v>0</v>
      </c>
      <c r="H85" s="30" t="b">
        <f t="shared" si="13"/>
        <v>0</v>
      </c>
      <c r="I85" s="36"/>
      <c r="J85" s="36"/>
      <c r="K85" s="35">
        <f t="shared" si="16"/>
        <v>0</v>
      </c>
      <c r="L85" s="32"/>
      <c r="M85" s="32">
        <f t="shared" si="14"/>
        <v>0</v>
      </c>
      <c r="N85" s="23">
        <f t="shared" si="10"/>
        <v>-0.31875000000000003</v>
      </c>
      <c r="O85" s="33">
        <f t="shared" si="15"/>
        <v>-0.95625000000000004</v>
      </c>
      <c r="P85" s="67">
        <f>P84+N85</f>
        <v>-0.95625000000000004</v>
      </c>
      <c r="Q85" s="71"/>
      <c r="R85" s="71"/>
    </row>
    <row r="86" spans="2:18" x14ac:dyDescent="0.25">
      <c r="B86" s="45">
        <v>43903</v>
      </c>
      <c r="C86" s="47" t="s">
        <v>8</v>
      </c>
      <c r="D86" s="35"/>
      <c r="E86" s="35"/>
      <c r="F86" s="35"/>
      <c r="G86" s="30">
        <f t="shared" si="12"/>
        <v>0</v>
      </c>
      <c r="H86" s="30" t="b">
        <f t="shared" si="13"/>
        <v>0</v>
      </c>
      <c r="I86" s="36"/>
      <c r="J86" s="36"/>
      <c r="K86" s="35">
        <f t="shared" si="16"/>
        <v>0</v>
      </c>
      <c r="L86" s="32"/>
      <c r="M86" s="32">
        <f t="shared" si="14"/>
        <v>0</v>
      </c>
      <c r="N86" s="23">
        <f t="shared" si="10"/>
        <v>-0.31875000000000003</v>
      </c>
      <c r="O86" s="33">
        <f t="shared" si="15"/>
        <v>-1.2750000000000001</v>
      </c>
      <c r="P86" s="67">
        <f>P85+N86</f>
        <v>-1.2750000000000001</v>
      </c>
      <c r="Q86" s="71"/>
      <c r="R86" s="71"/>
    </row>
    <row r="87" spans="2:18" x14ac:dyDescent="0.25">
      <c r="B87" s="45">
        <v>43904</v>
      </c>
      <c r="C87" s="47" t="s">
        <v>9</v>
      </c>
      <c r="D87" s="35"/>
      <c r="E87" s="35"/>
      <c r="F87" s="35"/>
      <c r="G87" s="30">
        <f t="shared" si="12"/>
        <v>0</v>
      </c>
      <c r="H87" s="30" t="b">
        <f t="shared" si="13"/>
        <v>0</v>
      </c>
      <c r="I87" s="36"/>
      <c r="J87" s="36"/>
      <c r="K87" s="35">
        <f t="shared" si="16"/>
        <v>0</v>
      </c>
      <c r="L87" s="32"/>
      <c r="M87" s="32">
        <f t="shared" si="14"/>
        <v>0</v>
      </c>
      <c r="N87" s="23">
        <f t="shared" si="10"/>
        <v>-0.31875000000000003</v>
      </c>
      <c r="O87" s="33">
        <f t="shared" si="15"/>
        <v>-1.5937500000000002</v>
      </c>
      <c r="P87" s="67">
        <f>P86+N87</f>
        <v>-1.5937500000000002</v>
      </c>
      <c r="Q87" s="71"/>
      <c r="R87" s="71"/>
    </row>
    <row r="88" spans="2:18" x14ac:dyDescent="0.25">
      <c r="B88" s="46">
        <v>43905</v>
      </c>
      <c r="C88" s="48" t="s">
        <v>21</v>
      </c>
      <c r="D88" s="43"/>
      <c r="E88" s="43"/>
      <c r="F88" s="43"/>
      <c r="G88" s="34"/>
      <c r="H88" s="34"/>
      <c r="I88" s="28"/>
      <c r="J88" s="28"/>
      <c r="K88" s="43"/>
      <c r="L88" s="27"/>
      <c r="M88" s="27"/>
      <c r="N88" s="44"/>
      <c r="O88" s="26"/>
      <c r="P88" s="65"/>
      <c r="Q88" s="71"/>
      <c r="R88" s="71"/>
    </row>
    <row r="89" spans="2:18" x14ac:dyDescent="0.25">
      <c r="B89" s="46">
        <v>43906</v>
      </c>
      <c r="C89" s="48" t="s">
        <v>22</v>
      </c>
      <c r="D89" s="43"/>
      <c r="E89" s="43"/>
      <c r="F89" s="43"/>
      <c r="G89" s="34"/>
      <c r="H89" s="34"/>
      <c r="I89" s="28"/>
      <c r="J89" s="28"/>
      <c r="K89" s="43"/>
      <c r="L89" s="27"/>
      <c r="M89" s="27"/>
      <c r="N89" s="44"/>
      <c r="O89" s="26"/>
      <c r="P89" s="65"/>
      <c r="Q89" s="71"/>
      <c r="R89" s="71"/>
    </row>
    <row r="90" spans="2:18" x14ac:dyDescent="0.25">
      <c r="B90" s="45">
        <v>43907</v>
      </c>
      <c r="C90" s="47" t="s">
        <v>6</v>
      </c>
      <c r="D90" s="59">
        <v>0</v>
      </c>
      <c r="E90" s="59"/>
      <c r="F90" s="59"/>
      <c r="G90" s="60">
        <f t="shared" si="12"/>
        <v>0</v>
      </c>
      <c r="H90" s="60" t="b">
        <f t="shared" si="13"/>
        <v>0</v>
      </c>
      <c r="I90" s="61"/>
      <c r="J90" s="61"/>
      <c r="K90" s="59">
        <f t="shared" si="16"/>
        <v>0</v>
      </c>
      <c r="L90" s="62">
        <v>0.31875000000000003</v>
      </c>
      <c r="M90" s="62">
        <f>(L90-D90)-H90-K90</f>
        <v>0.31875000000000003</v>
      </c>
      <c r="N90" s="23">
        <f>M90-$D$6</f>
        <v>0</v>
      </c>
      <c r="O90" s="33">
        <f t="shared" si="15"/>
        <v>0</v>
      </c>
      <c r="P90" s="67">
        <f>P89+N90</f>
        <v>0</v>
      </c>
      <c r="Q90" s="71"/>
      <c r="R90" s="71"/>
    </row>
    <row r="91" spans="2:18" x14ac:dyDescent="0.25">
      <c r="B91" s="45">
        <v>43908</v>
      </c>
      <c r="C91" s="47" t="s">
        <v>7</v>
      </c>
      <c r="D91" s="59">
        <v>0</v>
      </c>
      <c r="E91" s="59"/>
      <c r="F91" s="59"/>
      <c r="G91" s="60">
        <f t="shared" si="12"/>
        <v>0</v>
      </c>
      <c r="H91" s="60"/>
      <c r="I91" s="59"/>
      <c r="J91" s="59"/>
      <c r="K91" s="59">
        <f t="shared" si="16"/>
        <v>0</v>
      </c>
      <c r="L91" s="62">
        <v>0.31875000000000003</v>
      </c>
      <c r="M91" s="62">
        <f>(L91-D91)-H91-K91</f>
        <v>0.31875000000000003</v>
      </c>
      <c r="N91" s="23">
        <f>M91-$D$6</f>
        <v>0</v>
      </c>
      <c r="O91" s="33">
        <f t="shared" si="15"/>
        <v>0</v>
      </c>
      <c r="P91" s="67">
        <f>P90+N91</f>
        <v>0</v>
      </c>
      <c r="Q91" s="71"/>
      <c r="R91" s="71"/>
    </row>
    <row r="92" spans="2:18" x14ac:dyDescent="0.25">
      <c r="B92" s="45">
        <v>43909</v>
      </c>
      <c r="C92" s="47" t="s">
        <v>23</v>
      </c>
      <c r="D92" s="35">
        <v>0.32083333333333336</v>
      </c>
      <c r="E92" s="35">
        <v>0.44861111111111113</v>
      </c>
      <c r="F92" s="35">
        <v>0.46319444444444446</v>
      </c>
      <c r="G92" s="30">
        <f t="shared" si="12"/>
        <v>1.4583333333333337E-2</v>
      </c>
      <c r="H92" s="30">
        <f>IF(G92&gt;$I$6,G92-$I$6)</f>
        <v>6.9444444444444892E-4</v>
      </c>
      <c r="I92" s="35">
        <v>0.57638888888888895</v>
      </c>
      <c r="J92" s="35">
        <v>0.62291666666666667</v>
      </c>
      <c r="K92" s="35">
        <f t="shared" si="16"/>
        <v>4.6527777777777724E-2</v>
      </c>
      <c r="L92" s="32">
        <v>0.68819444444444444</v>
      </c>
      <c r="M92" s="32">
        <f t="shared" si="14"/>
        <v>0.32013888888888892</v>
      </c>
      <c r="N92" s="23">
        <f t="shared" si="10"/>
        <v>1.388888888888884E-3</v>
      </c>
      <c r="O92" s="33">
        <f t="shared" si="15"/>
        <v>1.388888888888884E-3</v>
      </c>
      <c r="P92" s="67">
        <f>P91+N92</f>
        <v>1.388888888888884E-3</v>
      </c>
      <c r="Q92" s="71"/>
      <c r="R92" s="71"/>
    </row>
    <row r="93" spans="2:18" x14ac:dyDescent="0.25">
      <c r="B93" s="45">
        <v>43910</v>
      </c>
      <c r="C93" s="47" t="s">
        <v>8</v>
      </c>
      <c r="D93" s="35">
        <v>0.31666666666666665</v>
      </c>
      <c r="E93" s="35"/>
      <c r="F93" s="35"/>
      <c r="G93" s="30">
        <f t="shared" si="12"/>
        <v>0</v>
      </c>
      <c r="H93" s="30" t="b">
        <f t="shared" si="13"/>
        <v>0</v>
      </c>
      <c r="I93" s="35">
        <v>0.5756944444444444</v>
      </c>
      <c r="J93" s="35">
        <v>0.62291666666666667</v>
      </c>
      <c r="K93" s="35">
        <f t="shared" si="16"/>
        <v>4.7222222222222276E-2</v>
      </c>
      <c r="L93" s="32">
        <v>0.70000000000000007</v>
      </c>
      <c r="M93" s="32">
        <f>(L93-D93)-H93-K93</f>
        <v>0.33611111111111114</v>
      </c>
      <c r="N93" s="23">
        <f t="shared" si="10"/>
        <v>1.7361111111111105E-2</v>
      </c>
      <c r="O93" s="33">
        <f t="shared" si="15"/>
        <v>1.8749999999999989E-2</v>
      </c>
      <c r="P93" s="67">
        <f>P92+N93</f>
        <v>1.8749999999999989E-2</v>
      </c>
      <c r="Q93" s="71"/>
      <c r="R93" s="71"/>
    </row>
    <row r="94" spans="2:18" x14ac:dyDescent="0.25">
      <c r="B94" s="45">
        <v>43911</v>
      </c>
      <c r="C94" s="47" t="s">
        <v>9</v>
      </c>
      <c r="D94" s="35">
        <v>0.3263888888888889</v>
      </c>
      <c r="E94" s="35">
        <v>0.4465277777777778</v>
      </c>
      <c r="F94" s="35">
        <v>0.46180555555555558</v>
      </c>
      <c r="G94" s="30">
        <f t="shared" si="12"/>
        <v>1.5277777777777779E-2</v>
      </c>
      <c r="H94" s="30">
        <f t="shared" si="13"/>
        <v>1.3888888888888909E-3</v>
      </c>
      <c r="I94" s="36"/>
      <c r="J94" s="36"/>
      <c r="K94" s="35">
        <f t="shared" si="16"/>
        <v>0</v>
      </c>
      <c r="L94" s="32">
        <v>0.5854166666666667</v>
      </c>
      <c r="M94" s="32">
        <f t="shared" si="14"/>
        <v>0.25763888888888892</v>
      </c>
      <c r="N94" s="23">
        <f t="shared" si="10"/>
        <v>-6.1111111111111116E-2</v>
      </c>
      <c r="O94" s="33">
        <f t="shared" si="15"/>
        <v>-4.2361111111111127E-2</v>
      </c>
      <c r="P94" s="67">
        <f>P93+N94</f>
        <v>-4.2361111111111127E-2</v>
      </c>
      <c r="Q94" s="72">
        <f>SUM(M90:M94)</f>
        <v>1.5513888888888892</v>
      </c>
      <c r="R94" s="72">
        <f t="shared" ref="R94" si="17">Q94/5</f>
        <v>0.31027777777777782</v>
      </c>
    </row>
    <row r="95" spans="2:18" x14ac:dyDescent="0.25">
      <c r="B95" s="46">
        <v>43912</v>
      </c>
      <c r="C95" s="48" t="s">
        <v>21</v>
      </c>
      <c r="D95" s="43"/>
      <c r="E95" s="43"/>
      <c r="F95" s="43"/>
      <c r="G95" s="34"/>
      <c r="H95" s="34"/>
      <c r="I95" s="28"/>
      <c r="J95" s="28"/>
      <c r="K95" s="43"/>
      <c r="L95" s="27"/>
      <c r="M95" s="27"/>
      <c r="N95" s="44"/>
      <c r="O95" s="26"/>
      <c r="P95" s="65"/>
      <c r="Q95" s="71"/>
      <c r="R95" s="71"/>
    </row>
    <row r="96" spans="2:18" x14ac:dyDescent="0.25">
      <c r="B96" s="46">
        <v>43913</v>
      </c>
      <c r="C96" s="48" t="s">
        <v>22</v>
      </c>
      <c r="D96" s="43"/>
      <c r="E96" s="43"/>
      <c r="F96" s="43"/>
      <c r="G96" s="34"/>
      <c r="H96" s="34"/>
      <c r="I96" s="28"/>
      <c r="J96" s="28"/>
      <c r="K96" s="43"/>
      <c r="L96" s="27"/>
      <c r="M96" s="27"/>
      <c r="N96" s="44"/>
      <c r="O96" s="26"/>
      <c r="P96" s="65"/>
      <c r="Q96" s="71"/>
      <c r="R96" s="71"/>
    </row>
    <row r="97" spans="2:18" x14ac:dyDescent="0.25">
      <c r="B97" s="45">
        <v>43914</v>
      </c>
      <c r="C97" s="47" t="s">
        <v>6</v>
      </c>
      <c r="D97" s="35">
        <v>0.32500000000000001</v>
      </c>
      <c r="E97" s="35">
        <v>0.45624999999999999</v>
      </c>
      <c r="F97" s="35">
        <v>0.47152777777777777</v>
      </c>
      <c r="G97" s="30">
        <f t="shared" si="12"/>
        <v>1.5277777777777779E-2</v>
      </c>
      <c r="H97" s="30">
        <f t="shared" si="13"/>
        <v>1.3888888888888909E-3</v>
      </c>
      <c r="I97" s="35">
        <v>0.5805555555555556</v>
      </c>
      <c r="J97" s="35">
        <v>0.62291666666666667</v>
      </c>
      <c r="K97" s="35">
        <f t="shared" si="16"/>
        <v>4.2361111111111072E-2</v>
      </c>
      <c r="L97" s="32">
        <v>0.71250000000000002</v>
      </c>
      <c r="M97" s="32">
        <f t="shared" si="14"/>
        <v>0.34375000000000006</v>
      </c>
      <c r="N97" s="23">
        <f t="shared" si="10"/>
        <v>2.5000000000000022E-2</v>
      </c>
      <c r="O97" s="33">
        <f t="shared" si="15"/>
        <v>2.5000000000000022E-2</v>
      </c>
      <c r="P97" s="67">
        <f>P96+N97</f>
        <v>2.5000000000000022E-2</v>
      </c>
      <c r="Q97" s="71"/>
      <c r="R97" s="71"/>
    </row>
    <row r="98" spans="2:18" x14ac:dyDescent="0.25">
      <c r="B98" s="45">
        <v>43915</v>
      </c>
      <c r="C98" s="47" t="s">
        <v>7</v>
      </c>
      <c r="D98" s="35">
        <v>0.32013888888888892</v>
      </c>
      <c r="E98" s="35">
        <v>0.4458333333333333</v>
      </c>
      <c r="F98" s="35">
        <v>0.46111111111111108</v>
      </c>
      <c r="G98" s="30">
        <f t="shared" si="12"/>
        <v>1.5277777777777779E-2</v>
      </c>
      <c r="H98" s="30">
        <f t="shared" si="13"/>
        <v>1.3888888888888909E-3</v>
      </c>
      <c r="I98" s="35">
        <v>0.57777777777777783</v>
      </c>
      <c r="J98" s="35">
        <v>0.625</v>
      </c>
      <c r="K98" s="35">
        <f t="shared" si="16"/>
        <v>4.7222222222222165E-2</v>
      </c>
      <c r="L98" s="32">
        <v>0.71319444444444446</v>
      </c>
      <c r="M98" s="32">
        <f t="shared" si="14"/>
        <v>0.3444444444444445</v>
      </c>
      <c r="N98" s="23">
        <f t="shared" si="10"/>
        <v>2.5694444444444464E-2</v>
      </c>
      <c r="O98" s="33">
        <f t="shared" si="15"/>
        <v>5.0694444444444486E-2</v>
      </c>
      <c r="P98" s="67">
        <f>P97+N98</f>
        <v>5.0694444444444486E-2</v>
      </c>
      <c r="Q98" s="71"/>
      <c r="R98" s="71"/>
    </row>
    <row r="99" spans="2:18" x14ac:dyDescent="0.25">
      <c r="B99" s="45">
        <v>43916</v>
      </c>
      <c r="C99" s="47" t="s">
        <v>23</v>
      </c>
      <c r="D99" s="35">
        <v>0.32569444444444445</v>
      </c>
      <c r="E99" s="35">
        <v>0.45416666666666666</v>
      </c>
      <c r="F99" s="35">
        <v>0.47083333333333338</v>
      </c>
      <c r="G99" s="30">
        <f t="shared" si="12"/>
        <v>1.6666666666666718E-2</v>
      </c>
      <c r="H99" s="30">
        <f t="shared" si="13"/>
        <v>2.7777777777778304E-3</v>
      </c>
      <c r="I99" s="36"/>
      <c r="J99" s="36"/>
      <c r="K99" s="35">
        <f t="shared" si="16"/>
        <v>0</v>
      </c>
      <c r="L99" s="32">
        <v>0.61527777777777781</v>
      </c>
      <c r="M99" s="32">
        <f t="shared" si="14"/>
        <v>0.28680555555555554</v>
      </c>
      <c r="N99" s="23">
        <f t="shared" si="10"/>
        <v>-3.1944444444444497E-2</v>
      </c>
      <c r="O99" s="33">
        <f t="shared" si="15"/>
        <v>1.8749999999999989E-2</v>
      </c>
      <c r="P99" s="67">
        <f>P98+N99</f>
        <v>1.8749999999999989E-2</v>
      </c>
      <c r="Q99" s="71"/>
      <c r="R99" s="71"/>
    </row>
    <row r="100" spans="2:18" x14ac:dyDescent="0.25">
      <c r="B100" s="45">
        <v>43917</v>
      </c>
      <c r="C100" s="47" t="s">
        <v>8</v>
      </c>
      <c r="D100" s="35"/>
      <c r="E100" s="35"/>
      <c r="F100" s="35"/>
      <c r="G100" s="30">
        <f t="shared" si="12"/>
        <v>0</v>
      </c>
      <c r="H100" s="30" t="b">
        <f t="shared" si="13"/>
        <v>0</v>
      </c>
      <c r="I100" s="36"/>
      <c r="J100" s="36"/>
      <c r="K100" s="35">
        <f t="shared" si="16"/>
        <v>0</v>
      </c>
      <c r="L100" s="32"/>
      <c r="M100" s="32">
        <f t="shared" si="14"/>
        <v>0</v>
      </c>
      <c r="N100" s="23">
        <f t="shared" si="10"/>
        <v>-0.31875000000000003</v>
      </c>
      <c r="O100" s="33">
        <f t="shared" si="15"/>
        <v>-0.30000000000000004</v>
      </c>
      <c r="P100" s="67">
        <f>P99+N100</f>
        <v>-0.30000000000000004</v>
      </c>
      <c r="Q100" s="71"/>
      <c r="R100" s="71"/>
    </row>
    <row r="101" spans="2:18" x14ac:dyDescent="0.25">
      <c r="B101" s="45">
        <v>43918</v>
      </c>
      <c r="C101" s="47" t="s">
        <v>9</v>
      </c>
      <c r="D101" s="35"/>
      <c r="E101" s="35"/>
      <c r="F101" s="35"/>
      <c r="G101" s="30">
        <f t="shared" si="12"/>
        <v>0</v>
      </c>
      <c r="H101" s="30" t="b">
        <f t="shared" si="13"/>
        <v>0</v>
      </c>
      <c r="I101" s="36"/>
      <c r="J101" s="36"/>
      <c r="K101" s="35">
        <f t="shared" si="16"/>
        <v>0</v>
      </c>
      <c r="L101" s="32"/>
      <c r="M101" s="32">
        <f t="shared" si="14"/>
        <v>0</v>
      </c>
      <c r="N101" s="23">
        <f t="shared" si="10"/>
        <v>-0.31875000000000003</v>
      </c>
      <c r="O101" s="33">
        <f t="shared" si="15"/>
        <v>-0.61875000000000013</v>
      </c>
      <c r="P101" s="67">
        <f>P100+N101</f>
        <v>-0.61875000000000013</v>
      </c>
      <c r="Q101" s="72">
        <f>SUM(M97:M101)</f>
        <v>0.97500000000000009</v>
      </c>
      <c r="R101" s="72">
        <f t="shared" ref="R101" si="18">Q101/5</f>
        <v>0.19500000000000001</v>
      </c>
    </row>
    <row r="102" spans="2:18" x14ac:dyDescent="0.25">
      <c r="B102" s="46">
        <v>43919</v>
      </c>
      <c r="C102" s="48" t="s">
        <v>21</v>
      </c>
      <c r="D102" s="43"/>
      <c r="E102" s="43"/>
      <c r="F102" s="43"/>
      <c r="G102" s="34"/>
      <c r="H102" s="34"/>
      <c r="I102" s="28"/>
      <c r="J102" s="28"/>
      <c r="K102" s="43"/>
      <c r="L102" s="27"/>
      <c r="M102" s="27"/>
      <c r="N102" s="44"/>
      <c r="O102" s="26"/>
      <c r="P102" s="65"/>
      <c r="Q102" s="71"/>
      <c r="R102" s="71"/>
    </row>
    <row r="103" spans="2:18" x14ac:dyDescent="0.25">
      <c r="B103" s="46">
        <v>43920</v>
      </c>
      <c r="C103" s="48" t="s">
        <v>22</v>
      </c>
      <c r="D103" s="43"/>
      <c r="E103" s="43"/>
      <c r="F103" s="43"/>
      <c r="G103" s="34"/>
      <c r="H103" s="34"/>
      <c r="I103" s="28"/>
      <c r="J103" s="28"/>
      <c r="K103" s="43"/>
      <c r="L103" s="27"/>
      <c r="M103" s="27"/>
      <c r="N103" s="44"/>
      <c r="O103" s="26"/>
      <c r="P103" s="65"/>
      <c r="Q103" s="71"/>
      <c r="R103" s="71"/>
    </row>
    <row r="104" spans="2:18" x14ac:dyDescent="0.25">
      <c r="B104" s="45">
        <v>43921</v>
      </c>
      <c r="C104" s="47" t="s">
        <v>6</v>
      </c>
      <c r="D104" s="35">
        <v>0.31180555555555556</v>
      </c>
      <c r="E104" s="35">
        <v>0.4458333333333333</v>
      </c>
      <c r="F104" s="35">
        <v>0.46458333333333335</v>
      </c>
      <c r="G104" s="30">
        <f t="shared" si="12"/>
        <v>1.8750000000000044E-2</v>
      </c>
      <c r="H104" s="30">
        <f t="shared" si="13"/>
        <v>4.8611111111111563E-3</v>
      </c>
      <c r="I104" s="35">
        <v>0.57638888888888895</v>
      </c>
      <c r="J104" s="35">
        <v>0.62083333333333335</v>
      </c>
      <c r="K104" s="35">
        <f t="shared" si="16"/>
        <v>4.4444444444444398E-2</v>
      </c>
      <c r="L104" s="32">
        <v>0.72291666666666676</v>
      </c>
      <c r="M104" s="32">
        <f t="shared" si="14"/>
        <v>0.36180555555555566</v>
      </c>
      <c r="N104" s="23">
        <f t="shared" si="10"/>
        <v>4.3055555555555625E-2</v>
      </c>
      <c r="O104" s="33">
        <f>O103+N104</f>
        <v>4.3055555555555625E-2</v>
      </c>
      <c r="P104" s="67">
        <f>P103+N104</f>
        <v>4.3055555555555625E-2</v>
      </c>
      <c r="Q104" s="71"/>
      <c r="R104" s="71"/>
    </row>
    <row r="105" spans="2:18" x14ac:dyDescent="0.25">
      <c r="B105" s="45">
        <v>43922</v>
      </c>
      <c r="C105" s="47" t="s">
        <v>7</v>
      </c>
      <c r="D105" s="35">
        <v>0.31875000000000003</v>
      </c>
      <c r="E105" s="35">
        <v>0.47083333333333338</v>
      </c>
      <c r="F105" s="35">
        <v>0.48749999999999999</v>
      </c>
      <c r="G105" s="30">
        <f t="shared" si="12"/>
        <v>1.6666666666666607E-2</v>
      </c>
      <c r="H105" s="30">
        <f t="shared" si="13"/>
        <v>2.7777777777777193E-3</v>
      </c>
      <c r="I105" s="35">
        <v>0.57847222222222217</v>
      </c>
      <c r="J105" s="35">
        <v>0.62361111111111112</v>
      </c>
      <c r="K105" s="35">
        <f t="shared" si="16"/>
        <v>4.5138888888888951E-2</v>
      </c>
      <c r="L105" s="32">
        <v>0.72291666666666676</v>
      </c>
      <c r="M105" s="32">
        <f t="shared" si="14"/>
        <v>0.35625000000000007</v>
      </c>
      <c r="N105" s="23">
        <f t="shared" si="10"/>
        <v>3.7500000000000033E-2</v>
      </c>
      <c r="O105" s="33">
        <f t="shared" ref="O105:O115" si="19">O104+N105</f>
        <v>8.0555555555555658E-2</v>
      </c>
      <c r="P105" s="67">
        <f>P104+N105</f>
        <v>8.0555555555555658E-2</v>
      </c>
      <c r="Q105" s="71"/>
      <c r="R105" s="71"/>
    </row>
    <row r="106" spans="2:18" x14ac:dyDescent="0.25">
      <c r="B106" s="45">
        <v>43923</v>
      </c>
      <c r="C106" s="47" t="s">
        <v>23</v>
      </c>
      <c r="D106" s="35">
        <v>0.32708333333333334</v>
      </c>
      <c r="E106" s="35"/>
      <c r="F106" s="35"/>
      <c r="G106" s="30">
        <f t="shared" si="12"/>
        <v>0</v>
      </c>
      <c r="H106" s="30" t="b">
        <f t="shared" si="13"/>
        <v>0</v>
      </c>
      <c r="I106" s="35">
        <v>0.58958333333333335</v>
      </c>
      <c r="J106" s="35">
        <v>0.6333333333333333</v>
      </c>
      <c r="K106" s="35">
        <f t="shared" si="16"/>
        <v>4.3749999999999956E-2</v>
      </c>
      <c r="L106" s="32">
        <v>0.71666666666666667</v>
      </c>
      <c r="M106" s="32">
        <f t="shared" si="14"/>
        <v>0.34583333333333338</v>
      </c>
      <c r="N106" s="23">
        <f t="shared" si="10"/>
        <v>2.7083333333333348E-2</v>
      </c>
      <c r="O106" s="33">
        <f t="shared" si="19"/>
        <v>0.10763888888888901</v>
      </c>
      <c r="P106" s="67">
        <f>P105+N106</f>
        <v>0.10763888888888901</v>
      </c>
      <c r="Q106" s="71"/>
      <c r="R106" s="71"/>
    </row>
    <row r="107" spans="2:18" x14ac:dyDescent="0.25">
      <c r="B107" s="45">
        <v>43924</v>
      </c>
      <c r="C107" s="47" t="s">
        <v>8</v>
      </c>
      <c r="D107" s="35">
        <v>0.31875000000000003</v>
      </c>
      <c r="E107" s="35">
        <v>0.45624999999999999</v>
      </c>
      <c r="F107" s="35">
        <v>0.47291666666666665</v>
      </c>
      <c r="G107" s="30">
        <f t="shared" si="12"/>
        <v>1.6666666666666663E-2</v>
      </c>
      <c r="H107" s="30">
        <f t="shared" si="13"/>
        <v>2.7777777777777748E-3</v>
      </c>
      <c r="I107" s="35">
        <v>0.57500000000000007</v>
      </c>
      <c r="J107" s="35">
        <v>0.61875000000000002</v>
      </c>
      <c r="K107" s="35">
        <f t="shared" si="16"/>
        <v>4.3749999999999956E-2</v>
      </c>
      <c r="L107" s="32">
        <v>0.7090277777777777</v>
      </c>
      <c r="M107" s="32">
        <f t="shared" si="14"/>
        <v>0.34374999999999994</v>
      </c>
      <c r="N107" s="23">
        <f t="shared" si="10"/>
        <v>2.4999999999999911E-2</v>
      </c>
      <c r="O107" s="33">
        <f t="shared" si="19"/>
        <v>0.13263888888888892</v>
      </c>
      <c r="P107" s="67">
        <f>P106+N107</f>
        <v>0.13263888888888892</v>
      </c>
      <c r="Q107" s="71"/>
      <c r="R107" s="71"/>
    </row>
    <row r="108" spans="2:18" x14ac:dyDescent="0.25">
      <c r="B108" s="45">
        <v>43925</v>
      </c>
      <c r="C108" s="47" t="s">
        <v>9</v>
      </c>
      <c r="D108" s="35">
        <v>0.32361111111111113</v>
      </c>
      <c r="E108" s="35">
        <v>0.43541666666666662</v>
      </c>
      <c r="F108" s="35">
        <v>0.45624999999999999</v>
      </c>
      <c r="G108" s="30">
        <f t="shared" si="12"/>
        <v>2.083333333333337E-2</v>
      </c>
      <c r="H108" s="30">
        <f t="shared" si="13"/>
        <v>6.9444444444444822E-3</v>
      </c>
      <c r="I108" s="35"/>
      <c r="J108" s="36"/>
      <c r="K108" s="35">
        <f t="shared" si="16"/>
        <v>0</v>
      </c>
      <c r="L108" s="32">
        <v>0.58819444444444446</v>
      </c>
      <c r="M108" s="32">
        <f t="shared" si="14"/>
        <v>0.25763888888888886</v>
      </c>
      <c r="N108" s="23">
        <f t="shared" ref="N108:N171" si="20">M108-$D$6</f>
        <v>-6.1111111111111172E-2</v>
      </c>
      <c r="O108" s="33">
        <f t="shared" si="19"/>
        <v>7.1527777777777746E-2</v>
      </c>
      <c r="P108" s="67">
        <f>P107+N108</f>
        <v>7.1527777777777746E-2</v>
      </c>
      <c r="Q108" s="72">
        <f>SUM(M104:M108)</f>
        <v>1.6652777777777779</v>
      </c>
      <c r="R108" s="72">
        <f t="shared" ref="R108" si="21">Q108/5</f>
        <v>0.33305555555555555</v>
      </c>
    </row>
    <row r="109" spans="2:18" x14ac:dyDescent="0.25">
      <c r="B109" s="46">
        <v>43926</v>
      </c>
      <c r="C109" s="48" t="s">
        <v>21</v>
      </c>
      <c r="D109" s="43"/>
      <c r="E109" s="43"/>
      <c r="F109" s="43"/>
      <c r="G109" s="34"/>
      <c r="H109" s="34"/>
      <c r="I109" s="28"/>
      <c r="J109" s="28"/>
      <c r="K109" s="43"/>
      <c r="L109" s="27"/>
      <c r="M109" s="27"/>
      <c r="N109" s="44"/>
      <c r="O109" s="26"/>
      <c r="P109" s="65"/>
      <c r="Q109" s="71"/>
      <c r="R109" s="71"/>
    </row>
    <row r="110" spans="2:18" x14ac:dyDescent="0.25">
      <c r="B110" s="46">
        <v>43927</v>
      </c>
      <c r="C110" s="48" t="s">
        <v>22</v>
      </c>
      <c r="D110" s="43"/>
      <c r="E110" s="43"/>
      <c r="F110" s="43"/>
      <c r="G110" s="34"/>
      <c r="H110" s="34"/>
      <c r="I110" s="28"/>
      <c r="J110" s="28"/>
      <c r="K110" s="43"/>
      <c r="L110" s="27"/>
      <c r="M110" s="27"/>
      <c r="N110" s="44"/>
      <c r="O110" s="26"/>
      <c r="P110" s="65"/>
      <c r="Q110" s="71"/>
      <c r="R110" s="71"/>
    </row>
    <row r="111" spans="2:18" x14ac:dyDescent="0.25">
      <c r="B111" s="45">
        <v>43928</v>
      </c>
      <c r="C111" s="47" t="s">
        <v>6</v>
      </c>
      <c r="D111" s="35">
        <v>0.31458333333333333</v>
      </c>
      <c r="E111" s="35">
        <v>0.44513888888888892</v>
      </c>
      <c r="F111" s="35">
        <v>0.46111111111111108</v>
      </c>
      <c r="G111" s="30">
        <f t="shared" si="12"/>
        <v>1.5972222222222165E-2</v>
      </c>
      <c r="H111" s="30">
        <f t="shared" si="13"/>
        <v>2.0833333333332774E-3</v>
      </c>
      <c r="I111" s="35">
        <v>0.57361111111111118</v>
      </c>
      <c r="J111" s="35">
        <v>0.61736111111111114</v>
      </c>
      <c r="K111" s="35">
        <f t="shared" si="16"/>
        <v>4.3749999999999956E-2</v>
      </c>
      <c r="L111" s="32">
        <v>0.70763888888888893</v>
      </c>
      <c r="M111" s="32">
        <f t="shared" si="14"/>
        <v>0.34722222222222238</v>
      </c>
      <c r="N111" s="23">
        <f t="shared" si="20"/>
        <v>2.8472222222222343E-2</v>
      </c>
      <c r="O111" s="33">
        <f t="shared" si="19"/>
        <v>2.8472222222222343E-2</v>
      </c>
      <c r="P111" s="67">
        <f>P110+N111</f>
        <v>2.8472222222222343E-2</v>
      </c>
      <c r="Q111" s="71"/>
      <c r="R111" s="71"/>
    </row>
    <row r="112" spans="2:18" x14ac:dyDescent="0.25">
      <c r="B112" s="45">
        <v>43929</v>
      </c>
      <c r="C112" s="47" t="s">
        <v>7</v>
      </c>
      <c r="D112" s="35">
        <v>0.32708333333333334</v>
      </c>
      <c r="E112" s="35"/>
      <c r="F112" s="35"/>
      <c r="G112" s="30">
        <f t="shared" ref="G112:G115" si="22">F112-E112</f>
        <v>0</v>
      </c>
      <c r="H112" s="30" t="b">
        <f t="shared" ref="H112:H115" si="23">IF(G112&gt;$I$6,G112-$I$6)</f>
        <v>0</v>
      </c>
      <c r="I112" s="35">
        <v>0.57986111111111105</v>
      </c>
      <c r="J112" s="35">
        <v>0.62569444444444444</v>
      </c>
      <c r="K112" s="35">
        <f t="shared" si="16"/>
        <v>4.5833333333333393E-2</v>
      </c>
      <c r="L112" s="32">
        <v>0.71180555555555547</v>
      </c>
      <c r="M112" s="32">
        <f t="shared" ref="M112:M115" si="24">(L112-D112)-H112-K112</f>
        <v>0.33888888888888874</v>
      </c>
      <c r="N112" s="23">
        <f t="shared" si="20"/>
        <v>2.0138888888888706E-2</v>
      </c>
      <c r="O112" s="33">
        <f t="shared" si="19"/>
        <v>4.8611111111111049E-2</v>
      </c>
      <c r="P112" s="67">
        <f>P111+N112</f>
        <v>4.8611111111111049E-2</v>
      </c>
      <c r="Q112" s="71"/>
      <c r="R112" s="71"/>
    </row>
    <row r="113" spans="2:18" x14ac:dyDescent="0.25">
      <c r="B113" s="45">
        <v>43930</v>
      </c>
      <c r="C113" s="47" t="s">
        <v>23</v>
      </c>
      <c r="D113" s="35">
        <v>0.31666666666666665</v>
      </c>
      <c r="E113" s="35">
        <v>0.44444444444444442</v>
      </c>
      <c r="F113" s="35">
        <v>0.46180555555555558</v>
      </c>
      <c r="G113" s="30">
        <f t="shared" si="22"/>
        <v>1.736111111111116E-2</v>
      </c>
      <c r="H113" s="30">
        <f t="shared" si="23"/>
        <v>3.4722222222222723E-3</v>
      </c>
      <c r="I113" s="35">
        <v>0.57430555555555551</v>
      </c>
      <c r="J113" s="35">
        <v>0.62569444444444444</v>
      </c>
      <c r="K113" s="35">
        <f t="shared" si="16"/>
        <v>5.1388888888888928E-2</v>
      </c>
      <c r="L113" s="32">
        <v>0.71388888888888891</v>
      </c>
      <c r="M113" s="32">
        <f t="shared" si="24"/>
        <v>0.34236111111111106</v>
      </c>
      <c r="N113" s="23">
        <f t="shared" si="20"/>
        <v>2.3611111111111027E-2</v>
      </c>
      <c r="O113" s="33">
        <f t="shared" si="19"/>
        <v>7.2222222222222077E-2</v>
      </c>
      <c r="P113" s="67">
        <f>P112+N113</f>
        <v>7.2222222222222077E-2</v>
      </c>
      <c r="Q113" s="71"/>
      <c r="R113" s="71"/>
    </row>
    <row r="114" spans="2:18" x14ac:dyDescent="0.25">
      <c r="B114" s="45">
        <v>43931</v>
      </c>
      <c r="C114" s="47" t="s">
        <v>8</v>
      </c>
      <c r="D114" s="35">
        <v>0.32777777777777778</v>
      </c>
      <c r="E114" s="35"/>
      <c r="F114" s="35"/>
      <c r="G114" s="30">
        <f t="shared" si="22"/>
        <v>0</v>
      </c>
      <c r="H114" s="30" t="b">
        <f t="shared" si="23"/>
        <v>0</v>
      </c>
      <c r="I114" s="35">
        <v>0.57916666666666672</v>
      </c>
      <c r="J114" s="35">
        <v>0.62708333333333333</v>
      </c>
      <c r="K114" s="35">
        <f t="shared" si="16"/>
        <v>4.7916666666666607E-2</v>
      </c>
      <c r="L114" s="32">
        <v>0.7270833333333333</v>
      </c>
      <c r="M114" s="32">
        <f t="shared" si="24"/>
        <v>0.35138888888888892</v>
      </c>
      <c r="N114" s="23">
        <f t="shared" si="20"/>
        <v>3.2638888888888884E-2</v>
      </c>
      <c r="O114" s="33">
        <f t="shared" si="19"/>
        <v>0.10486111111111096</v>
      </c>
      <c r="P114" s="67">
        <f>P113+N114</f>
        <v>0.10486111111111096</v>
      </c>
      <c r="Q114" s="71"/>
      <c r="R114" s="71"/>
    </row>
    <row r="115" spans="2:18" x14ac:dyDescent="0.25">
      <c r="B115" s="45">
        <v>43932</v>
      </c>
      <c r="C115" s="47" t="s">
        <v>9</v>
      </c>
      <c r="D115" s="35">
        <v>0.30763888888888891</v>
      </c>
      <c r="E115" s="35">
        <v>0.43888888888888888</v>
      </c>
      <c r="F115" s="35">
        <v>0.45347222222222222</v>
      </c>
      <c r="G115" s="30">
        <f t="shared" si="22"/>
        <v>1.4583333333333337E-2</v>
      </c>
      <c r="H115" s="30">
        <f t="shared" si="23"/>
        <v>6.9444444444444892E-4</v>
      </c>
      <c r="I115" s="36"/>
      <c r="J115" s="36"/>
      <c r="K115" s="35">
        <f t="shared" si="16"/>
        <v>0</v>
      </c>
      <c r="L115" s="32">
        <v>0.58888888888888891</v>
      </c>
      <c r="M115" s="32">
        <f t="shared" si="24"/>
        <v>0.28055555555555556</v>
      </c>
      <c r="N115" s="23">
        <f t="shared" si="20"/>
        <v>-3.8194444444444475E-2</v>
      </c>
      <c r="O115" s="33">
        <f t="shared" si="19"/>
        <v>6.6666666666666485E-2</v>
      </c>
      <c r="P115" s="67">
        <f>P114+N115</f>
        <v>6.6666666666666485E-2</v>
      </c>
      <c r="Q115" s="72">
        <f>SUM(M111:M115)</f>
        <v>1.6604166666666669</v>
      </c>
      <c r="R115" s="72">
        <f>Q115/5</f>
        <v>0.3320833333333334</v>
      </c>
    </row>
    <row r="116" spans="2:18" x14ac:dyDescent="0.25">
      <c r="B116" s="46">
        <v>43933</v>
      </c>
      <c r="C116" s="48" t="s">
        <v>21</v>
      </c>
      <c r="D116" s="43"/>
      <c r="E116" s="43"/>
      <c r="F116" s="43"/>
      <c r="G116" s="34"/>
      <c r="H116" s="34"/>
      <c r="I116" s="28"/>
      <c r="J116" s="28"/>
      <c r="K116" s="43"/>
      <c r="L116" s="27"/>
      <c r="M116" s="27"/>
      <c r="N116" s="44"/>
      <c r="O116" s="26"/>
      <c r="P116" s="65"/>
      <c r="Q116" s="71"/>
      <c r="R116" s="71"/>
    </row>
    <row r="117" spans="2:18" x14ac:dyDescent="0.25">
      <c r="B117" s="46">
        <v>43934</v>
      </c>
      <c r="C117" s="48" t="s">
        <v>22</v>
      </c>
      <c r="D117" s="43"/>
      <c r="E117" s="43"/>
      <c r="F117" s="43"/>
      <c r="G117" s="34"/>
      <c r="H117" s="34"/>
      <c r="I117" s="28"/>
      <c r="J117" s="28"/>
      <c r="K117" s="43"/>
      <c r="L117" s="27"/>
      <c r="M117" s="27"/>
      <c r="N117" s="44"/>
      <c r="O117" s="26"/>
      <c r="P117" s="65"/>
      <c r="Q117" s="71"/>
      <c r="R117" s="71"/>
    </row>
    <row r="118" spans="2:18" x14ac:dyDescent="0.25">
      <c r="B118" s="45">
        <v>43935</v>
      </c>
      <c r="C118" s="47" t="s">
        <v>6</v>
      </c>
      <c r="D118" s="35">
        <v>0.31111111111111112</v>
      </c>
      <c r="E118" s="35">
        <v>0.4680555555555555</v>
      </c>
      <c r="F118" s="35">
        <v>0.48125000000000001</v>
      </c>
      <c r="G118" s="30">
        <f t="shared" ref="G118:G164" si="25">F118-E118</f>
        <v>1.3194444444444509E-2</v>
      </c>
      <c r="H118" s="30" t="b">
        <f t="shared" ref="H118:H164" si="26">IF(G118&gt;$I$6,G118-$I$6)</f>
        <v>0</v>
      </c>
      <c r="I118" s="35">
        <v>0.60138888888888886</v>
      </c>
      <c r="J118" s="35">
        <v>0.625</v>
      </c>
      <c r="K118" s="35">
        <f t="shared" ref="K118:K164" si="27">J118-I118</f>
        <v>2.3611111111111138E-2</v>
      </c>
      <c r="L118" s="32">
        <v>0.71736111111111101</v>
      </c>
      <c r="M118" s="32">
        <f t="shared" ref="M118:M133" si="28">(L118-D118)-H118-K118</f>
        <v>0.38263888888888875</v>
      </c>
      <c r="N118" s="23">
        <f t="shared" si="20"/>
        <v>6.3888888888888717E-2</v>
      </c>
      <c r="O118" s="33">
        <f t="shared" ref="O118:O133" si="29">O117+N118</f>
        <v>6.3888888888888717E-2</v>
      </c>
      <c r="P118" s="67">
        <f>P117+N118</f>
        <v>6.3888888888888717E-2</v>
      </c>
      <c r="Q118" s="71"/>
      <c r="R118" s="71"/>
    </row>
    <row r="119" spans="2:18" x14ac:dyDescent="0.25">
      <c r="B119" s="45">
        <v>43936</v>
      </c>
      <c r="C119" s="47" t="s">
        <v>7</v>
      </c>
      <c r="D119" s="35">
        <v>0.31458333333333333</v>
      </c>
      <c r="E119" s="35">
        <v>0.4284722222222222</v>
      </c>
      <c r="F119" s="35">
        <v>0.44375000000000003</v>
      </c>
      <c r="G119" s="30">
        <f t="shared" si="25"/>
        <v>1.5277777777777835E-2</v>
      </c>
      <c r="H119" s="30">
        <f t="shared" si="26"/>
        <v>1.3888888888889464E-3</v>
      </c>
      <c r="I119" s="35">
        <v>0.57291666666666663</v>
      </c>
      <c r="J119" s="35">
        <v>0.61875000000000002</v>
      </c>
      <c r="K119" s="35">
        <f t="shared" si="27"/>
        <v>4.5833333333333393E-2</v>
      </c>
      <c r="L119" s="32">
        <v>0.71875</v>
      </c>
      <c r="M119" s="32">
        <f t="shared" si="28"/>
        <v>0.35694444444444434</v>
      </c>
      <c r="N119" s="23">
        <f t="shared" si="20"/>
        <v>3.8194444444444309E-2</v>
      </c>
      <c r="O119" s="33">
        <f t="shared" si="29"/>
        <v>0.10208333333333303</v>
      </c>
      <c r="P119" s="67">
        <f>P118+N119</f>
        <v>0.10208333333333303</v>
      </c>
      <c r="Q119" s="71"/>
      <c r="R119" s="71"/>
    </row>
    <row r="120" spans="2:18" x14ac:dyDescent="0.25">
      <c r="B120" s="45">
        <v>43937</v>
      </c>
      <c r="C120" s="47" t="s">
        <v>23</v>
      </c>
      <c r="D120" s="35">
        <v>0.31111111111111112</v>
      </c>
      <c r="E120" s="35">
        <v>0.45624999999999999</v>
      </c>
      <c r="F120" s="35">
        <v>0.47152777777777777</v>
      </c>
      <c r="G120" s="30">
        <f t="shared" si="25"/>
        <v>1.5277777777777779E-2</v>
      </c>
      <c r="H120" s="30">
        <f t="shared" si="26"/>
        <v>1.3888888888888909E-3</v>
      </c>
      <c r="I120" s="35">
        <v>0.58124999999999993</v>
      </c>
      <c r="J120" s="35">
        <v>0.62430555555555556</v>
      </c>
      <c r="K120" s="35">
        <f t="shared" si="27"/>
        <v>4.3055555555555625E-2</v>
      </c>
      <c r="L120" s="32">
        <v>0.70486111111111116</v>
      </c>
      <c r="M120" s="32">
        <f t="shared" si="28"/>
        <v>0.34930555555555554</v>
      </c>
      <c r="N120" s="23">
        <f t="shared" si="20"/>
        <v>3.0555555555555503E-2</v>
      </c>
      <c r="O120" s="33">
        <f t="shared" si="29"/>
        <v>0.13263888888888853</v>
      </c>
      <c r="P120" s="67">
        <f>P119+N120</f>
        <v>0.13263888888888853</v>
      </c>
      <c r="Q120" s="71"/>
      <c r="R120" s="71"/>
    </row>
    <row r="121" spans="2:18" x14ac:dyDescent="0.25">
      <c r="B121" s="45">
        <v>43938</v>
      </c>
      <c r="C121" s="47" t="s">
        <v>8</v>
      </c>
      <c r="D121" s="35">
        <v>0.31875000000000003</v>
      </c>
      <c r="E121" s="35">
        <v>0.45</v>
      </c>
      <c r="F121" s="35">
        <v>0.46527777777777773</v>
      </c>
      <c r="G121" s="30">
        <f t="shared" si="25"/>
        <v>1.5277777777777724E-2</v>
      </c>
      <c r="H121" s="30">
        <f t="shared" si="26"/>
        <v>1.3888888888888354E-3</v>
      </c>
      <c r="I121" s="35">
        <v>0.57500000000000007</v>
      </c>
      <c r="J121" s="35">
        <v>0.62569444444444444</v>
      </c>
      <c r="K121" s="35">
        <f t="shared" si="27"/>
        <v>5.0694444444444375E-2</v>
      </c>
      <c r="L121" s="32">
        <v>0.71527777777777779</v>
      </c>
      <c r="M121" s="32">
        <f t="shared" si="28"/>
        <v>0.34444444444444455</v>
      </c>
      <c r="N121" s="23">
        <f t="shared" si="20"/>
        <v>2.569444444444452E-2</v>
      </c>
      <c r="O121" s="33">
        <f t="shared" si="29"/>
        <v>0.15833333333333305</v>
      </c>
      <c r="P121" s="67">
        <f>P120+N121</f>
        <v>0.15833333333333305</v>
      </c>
      <c r="Q121" s="71"/>
      <c r="R121" s="71"/>
    </row>
    <row r="122" spans="2:18" x14ac:dyDescent="0.25">
      <c r="B122" s="45">
        <v>43939</v>
      </c>
      <c r="C122" s="47" t="s">
        <v>9</v>
      </c>
      <c r="D122" s="35">
        <v>0.31388888888888888</v>
      </c>
      <c r="E122" s="35">
        <v>0.44791666666666669</v>
      </c>
      <c r="F122" s="35">
        <v>0.46666666666666662</v>
      </c>
      <c r="G122" s="30">
        <f t="shared" si="25"/>
        <v>1.8749999999999933E-2</v>
      </c>
      <c r="H122" s="30">
        <f t="shared" si="26"/>
        <v>4.8611111111110453E-3</v>
      </c>
      <c r="I122" s="36"/>
      <c r="J122" s="36"/>
      <c r="K122" s="35">
        <f t="shared" si="27"/>
        <v>0</v>
      </c>
      <c r="L122" s="32">
        <v>0.58819444444444446</v>
      </c>
      <c r="M122" s="32">
        <f t="shared" si="28"/>
        <v>0.26944444444444454</v>
      </c>
      <c r="N122" s="23">
        <f t="shared" si="20"/>
        <v>-4.9305555555555491E-2</v>
      </c>
      <c r="O122" s="33">
        <f t="shared" si="29"/>
        <v>0.10902777777777756</v>
      </c>
      <c r="P122" s="67">
        <f>P121+N122</f>
        <v>0.10902777777777756</v>
      </c>
      <c r="Q122" s="72">
        <f>SUM(M118:M122)</f>
        <v>1.7027777777777777</v>
      </c>
      <c r="R122" s="72">
        <f>Q122/5</f>
        <v>0.34055555555555556</v>
      </c>
    </row>
    <row r="123" spans="2:18" x14ac:dyDescent="0.25">
      <c r="B123" s="46">
        <v>43940</v>
      </c>
      <c r="C123" s="48" t="s">
        <v>21</v>
      </c>
      <c r="D123" s="43"/>
      <c r="E123" s="43"/>
      <c r="F123" s="43"/>
      <c r="G123" s="34"/>
      <c r="H123" s="34"/>
      <c r="I123" s="28"/>
      <c r="J123" s="28"/>
      <c r="K123" s="43"/>
      <c r="L123" s="27"/>
      <c r="M123" s="27"/>
      <c r="N123" s="44"/>
      <c r="O123" s="26"/>
      <c r="P123" s="65"/>
      <c r="Q123" s="71"/>
      <c r="R123" s="71"/>
    </row>
    <row r="124" spans="2:18" x14ac:dyDescent="0.25">
      <c r="B124" s="46">
        <v>43941</v>
      </c>
      <c r="C124" s="48" t="s">
        <v>22</v>
      </c>
      <c r="D124" s="43"/>
      <c r="E124" s="43"/>
      <c r="F124" s="43"/>
      <c r="G124" s="34"/>
      <c r="H124" s="34"/>
      <c r="I124" s="28"/>
      <c r="J124" s="28"/>
      <c r="K124" s="43"/>
      <c r="L124" s="27"/>
      <c r="M124" s="27"/>
      <c r="N124" s="44"/>
      <c r="O124" s="26"/>
      <c r="P124" s="65"/>
      <c r="Q124" s="71"/>
      <c r="R124" s="71"/>
    </row>
    <row r="125" spans="2:18" x14ac:dyDescent="0.25">
      <c r="B125" s="45">
        <v>43942</v>
      </c>
      <c r="C125" s="47" t="s">
        <v>6</v>
      </c>
      <c r="D125" s="35">
        <v>0.31805555555555554</v>
      </c>
      <c r="E125" s="35">
        <v>0.4381944444444445</v>
      </c>
      <c r="F125" s="35">
        <v>0.4548611111111111</v>
      </c>
      <c r="G125" s="30">
        <f t="shared" si="25"/>
        <v>1.6666666666666607E-2</v>
      </c>
      <c r="H125" s="30">
        <f t="shared" si="26"/>
        <v>2.7777777777777193E-3</v>
      </c>
      <c r="I125" s="35">
        <v>0.62708333333333333</v>
      </c>
      <c r="J125" s="35">
        <v>0.69652777777777775</v>
      </c>
      <c r="K125" s="35">
        <f t="shared" si="27"/>
        <v>6.944444444444442E-2</v>
      </c>
      <c r="L125" s="32">
        <v>0.75138888888888899</v>
      </c>
      <c r="M125" s="32">
        <f t="shared" si="28"/>
        <v>0.36111111111111133</v>
      </c>
      <c r="N125" s="23">
        <f t="shared" si="20"/>
        <v>4.2361111111111294E-2</v>
      </c>
      <c r="O125" s="33">
        <f t="shared" si="29"/>
        <v>4.2361111111111294E-2</v>
      </c>
      <c r="P125" s="67">
        <f>P124+N125</f>
        <v>4.2361111111111294E-2</v>
      </c>
      <c r="Q125" s="71"/>
      <c r="R125" s="71"/>
    </row>
    <row r="126" spans="2:18" x14ac:dyDescent="0.25">
      <c r="B126" s="45">
        <v>43943</v>
      </c>
      <c r="C126" s="47" t="s">
        <v>7</v>
      </c>
      <c r="D126" s="35">
        <v>0.34027777777777773</v>
      </c>
      <c r="E126" s="35">
        <v>0.45277777777777778</v>
      </c>
      <c r="F126" s="35">
        <v>0.4680555555555555</v>
      </c>
      <c r="G126" s="30">
        <f t="shared" si="25"/>
        <v>1.5277777777777724E-2</v>
      </c>
      <c r="H126" s="30">
        <f t="shared" si="26"/>
        <v>1.3888888888888354E-3</v>
      </c>
      <c r="I126" s="35">
        <v>0.625</v>
      </c>
      <c r="J126" s="35">
        <v>0.69861111111111107</v>
      </c>
      <c r="K126" s="35">
        <f t="shared" si="27"/>
        <v>7.3611111111111072E-2</v>
      </c>
      <c r="L126" s="32">
        <v>0.75347222222222221</v>
      </c>
      <c r="M126" s="32">
        <f t="shared" si="28"/>
        <v>0.33819444444444458</v>
      </c>
      <c r="N126" s="23">
        <f t="shared" si="20"/>
        <v>1.9444444444444542E-2</v>
      </c>
      <c r="O126" s="33">
        <f t="shared" si="29"/>
        <v>6.1805555555555836E-2</v>
      </c>
      <c r="P126" s="67">
        <f>P125+N126</f>
        <v>6.1805555555555836E-2</v>
      </c>
      <c r="Q126" s="71"/>
      <c r="R126" s="71"/>
    </row>
    <row r="127" spans="2:18" x14ac:dyDescent="0.25">
      <c r="B127" s="45">
        <v>43944</v>
      </c>
      <c r="C127" s="47" t="s">
        <v>23</v>
      </c>
      <c r="D127" s="35">
        <v>0.34930555555555554</v>
      </c>
      <c r="E127" s="35">
        <v>0.44375000000000003</v>
      </c>
      <c r="F127" s="35">
        <v>0.4597222222222222</v>
      </c>
      <c r="G127" s="30">
        <f t="shared" si="25"/>
        <v>1.5972222222222165E-2</v>
      </c>
      <c r="H127" s="30">
        <f t="shared" si="26"/>
        <v>2.0833333333332774E-3</v>
      </c>
      <c r="I127" s="35">
        <v>0.62847222222222221</v>
      </c>
      <c r="J127" s="35">
        <v>0.69166666666666676</v>
      </c>
      <c r="K127" s="35">
        <f t="shared" si="27"/>
        <v>6.3194444444444553E-2</v>
      </c>
      <c r="L127" s="32">
        <v>0.75138888888888899</v>
      </c>
      <c r="M127" s="32">
        <f t="shared" si="28"/>
        <v>0.33680555555555564</v>
      </c>
      <c r="N127" s="23">
        <f t="shared" si="20"/>
        <v>1.8055555555555602E-2</v>
      </c>
      <c r="O127" s="33">
        <f t="shared" si="29"/>
        <v>7.9861111111111438E-2</v>
      </c>
      <c r="P127" s="67">
        <f>P126+N127</f>
        <v>7.9861111111111438E-2</v>
      </c>
      <c r="Q127" s="71"/>
      <c r="R127" s="71"/>
    </row>
    <row r="128" spans="2:18" x14ac:dyDescent="0.25">
      <c r="B128" s="45">
        <v>43945</v>
      </c>
      <c r="C128" s="47" t="s">
        <v>8</v>
      </c>
      <c r="D128" s="35">
        <v>0.33263888888888887</v>
      </c>
      <c r="E128" s="35">
        <v>0.44513888888888892</v>
      </c>
      <c r="F128" s="35">
        <v>0.45833333333333331</v>
      </c>
      <c r="G128" s="30">
        <f t="shared" si="25"/>
        <v>1.3194444444444398E-2</v>
      </c>
      <c r="H128" s="30" t="b">
        <f t="shared" si="26"/>
        <v>0</v>
      </c>
      <c r="I128" s="35">
        <v>0.62708333333333333</v>
      </c>
      <c r="J128" s="35">
        <v>0.69791666666666663</v>
      </c>
      <c r="K128" s="35">
        <f t="shared" si="27"/>
        <v>7.0833333333333304E-2</v>
      </c>
      <c r="L128" s="32">
        <v>0.75277777777777777</v>
      </c>
      <c r="M128" s="32">
        <f t="shared" si="28"/>
        <v>0.34930555555555559</v>
      </c>
      <c r="N128" s="23">
        <f t="shared" si="20"/>
        <v>3.0555555555555558E-2</v>
      </c>
      <c r="O128" s="33">
        <f t="shared" si="29"/>
        <v>0.110416666666667</v>
      </c>
      <c r="P128" s="67">
        <f>P127+N128</f>
        <v>0.110416666666667</v>
      </c>
      <c r="Q128" s="71"/>
      <c r="R128" s="71"/>
    </row>
    <row r="129" spans="2:21" x14ac:dyDescent="0.25">
      <c r="B129" s="45">
        <v>43946</v>
      </c>
      <c r="C129" s="47" t="s">
        <v>9</v>
      </c>
      <c r="D129" s="35">
        <v>0.32569444444444445</v>
      </c>
      <c r="E129" s="35"/>
      <c r="F129" s="35"/>
      <c r="G129" s="30">
        <f t="shared" si="25"/>
        <v>0</v>
      </c>
      <c r="H129" s="30" t="b">
        <f t="shared" si="26"/>
        <v>0</v>
      </c>
      <c r="I129" s="36"/>
      <c r="J129" s="36"/>
      <c r="K129" s="35">
        <f t="shared" si="27"/>
        <v>0</v>
      </c>
      <c r="L129" s="32">
        <v>0.58611111111111114</v>
      </c>
      <c r="M129" s="32">
        <f t="shared" si="28"/>
        <v>0.26041666666666669</v>
      </c>
      <c r="N129" s="23">
        <f t="shared" si="20"/>
        <v>-5.8333333333333348E-2</v>
      </c>
      <c r="O129" s="33">
        <f t="shared" si="29"/>
        <v>5.2083333333333648E-2</v>
      </c>
      <c r="P129" s="67">
        <f>P128+N129</f>
        <v>5.2083333333333648E-2</v>
      </c>
      <c r="Q129" s="72">
        <f>SUM(M125:M129)</f>
        <v>1.6458333333333337</v>
      </c>
      <c r="R129" s="72">
        <f t="shared" ref="R129" si="30">Q129/5</f>
        <v>0.32916666666666672</v>
      </c>
      <c r="S129" s="72"/>
    </row>
    <row r="130" spans="2:21" x14ac:dyDescent="0.25">
      <c r="B130" s="46">
        <v>43947</v>
      </c>
      <c r="C130" s="48" t="s">
        <v>21</v>
      </c>
      <c r="D130" s="43"/>
      <c r="E130" s="43"/>
      <c r="F130" s="43"/>
      <c r="G130" s="34"/>
      <c r="H130" s="34"/>
      <c r="I130" s="28"/>
      <c r="J130" s="28"/>
      <c r="K130" s="43"/>
      <c r="L130" s="27"/>
      <c r="M130" s="27"/>
      <c r="N130" s="44"/>
      <c r="O130" s="26"/>
      <c r="P130" s="65"/>
      <c r="Q130" s="71"/>
      <c r="R130" s="71"/>
    </row>
    <row r="131" spans="2:21" x14ac:dyDescent="0.25">
      <c r="B131" s="46">
        <v>43948</v>
      </c>
      <c r="C131" s="48" t="s">
        <v>22</v>
      </c>
      <c r="D131" s="43"/>
      <c r="E131" s="43"/>
      <c r="F131" s="43"/>
      <c r="G131" s="34"/>
      <c r="H131" s="34"/>
      <c r="I131" s="28"/>
      <c r="J131" s="28"/>
      <c r="K131" s="43"/>
      <c r="L131" s="27"/>
      <c r="M131" s="27"/>
      <c r="N131" s="44"/>
      <c r="O131" s="26"/>
      <c r="P131" s="65"/>
      <c r="Q131" s="71"/>
      <c r="R131" s="71"/>
    </row>
    <row r="132" spans="2:21" x14ac:dyDescent="0.25">
      <c r="B132" s="45">
        <v>43949</v>
      </c>
      <c r="C132" s="47" t="s">
        <v>6</v>
      </c>
      <c r="D132" s="35">
        <v>0.31944444444444448</v>
      </c>
      <c r="E132" s="35">
        <v>0.44166666666666665</v>
      </c>
      <c r="F132" s="35">
        <v>0.4597222222222222</v>
      </c>
      <c r="G132" s="30">
        <f t="shared" si="25"/>
        <v>1.8055555555555547E-2</v>
      </c>
      <c r="H132" s="30">
        <f t="shared" si="26"/>
        <v>4.1666666666666588E-3</v>
      </c>
      <c r="I132" s="35">
        <v>0.62638888888888888</v>
      </c>
      <c r="J132" s="35">
        <v>0.70833333333333337</v>
      </c>
      <c r="K132" s="35">
        <f t="shared" si="27"/>
        <v>8.1944444444444486E-2</v>
      </c>
      <c r="L132" s="32">
        <v>0.75555555555555554</v>
      </c>
      <c r="M132" s="32">
        <f t="shared" si="28"/>
        <v>0.34999999999999992</v>
      </c>
      <c r="N132" s="23">
        <f t="shared" si="20"/>
        <v>3.1249999999999889E-2</v>
      </c>
      <c r="O132" s="33">
        <f t="shared" si="29"/>
        <v>3.1249999999999889E-2</v>
      </c>
      <c r="P132" s="67">
        <f>P131+N132</f>
        <v>3.1249999999999889E-2</v>
      </c>
      <c r="Q132" s="71"/>
      <c r="R132" s="71"/>
      <c r="S132" s="58">
        <f>SUM(M104:M129)</f>
        <v>6.6743055555555566</v>
      </c>
    </row>
    <row r="133" spans="2:21" x14ac:dyDescent="0.25">
      <c r="B133" s="45">
        <v>43950</v>
      </c>
      <c r="C133" s="47" t="s">
        <v>7</v>
      </c>
      <c r="D133" s="35">
        <v>0.35972222222222222</v>
      </c>
      <c r="E133" s="35">
        <v>0.45555555555555555</v>
      </c>
      <c r="F133" s="35">
        <v>0.47083333333333338</v>
      </c>
      <c r="G133" s="30">
        <f t="shared" si="25"/>
        <v>1.5277777777777835E-2</v>
      </c>
      <c r="H133" s="30">
        <f t="shared" si="26"/>
        <v>1.3888888888889464E-3</v>
      </c>
      <c r="I133" s="35">
        <v>0.62986111111111109</v>
      </c>
      <c r="J133" s="35">
        <v>0.69791666666666663</v>
      </c>
      <c r="K133" s="35">
        <f t="shared" si="27"/>
        <v>6.8055555555555536E-2</v>
      </c>
      <c r="L133" s="32">
        <v>0.75208333333333333</v>
      </c>
      <c r="M133" s="32">
        <f t="shared" si="28"/>
        <v>0.32291666666666663</v>
      </c>
      <c r="N133" s="23">
        <f t="shared" si="20"/>
        <v>4.1666666666665964E-3</v>
      </c>
      <c r="O133" s="33">
        <f t="shared" si="29"/>
        <v>3.5416666666666485E-2</v>
      </c>
      <c r="P133" s="67">
        <f>P132+N133</f>
        <v>3.5416666666666485E-2</v>
      </c>
      <c r="Q133" s="71"/>
      <c r="R133" s="71"/>
      <c r="S133" s="33">
        <f>SUM(M104:M133)</f>
        <v>7.3472222222222232</v>
      </c>
      <c r="U133" s="58"/>
    </row>
    <row r="134" spans="2:21" x14ac:dyDescent="0.25">
      <c r="B134" s="45">
        <v>43951</v>
      </c>
      <c r="C134" s="47" t="s">
        <v>23</v>
      </c>
      <c r="D134" s="35"/>
      <c r="E134" s="35"/>
      <c r="F134" s="35"/>
      <c r="G134" s="30">
        <f t="shared" si="25"/>
        <v>0</v>
      </c>
      <c r="H134" s="30" t="b">
        <f t="shared" si="26"/>
        <v>0</v>
      </c>
      <c r="I134" s="36"/>
      <c r="J134" s="36"/>
      <c r="K134" s="35">
        <f t="shared" si="27"/>
        <v>0</v>
      </c>
      <c r="L134" s="32"/>
      <c r="M134" s="32">
        <v>0.34027777777777773</v>
      </c>
      <c r="N134" s="23">
        <f t="shared" si="20"/>
        <v>2.1527777777777701E-2</v>
      </c>
      <c r="O134" s="33">
        <f>O133+N134</f>
        <v>5.6944444444444187E-2</v>
      </c>
      <c r="P134" s="67">
        <f>P133+N134</f>
        <v>5.6944444444444187E-2</v>
      </c>
      <c r="Q134" s="71"/>
      <c r="R134" s="71"/>
    </row>
    <row r="135" spans="2:21" x14ac:dyDescent="0.25">
      <c r="B135" s="45">
        <v>43952</v>
      </c>
      <c r="C135" s="47" t="s">
        <v>8</v>
      </c>
      <c r="D135" s="35">
        <v>0.34722222222222227</v>
      </c>
      <c r="E135" s="35"/>
      <c r="F135" s="35"/>
      <c r="G135" s="30">
        <f t="shared" si="25"/>
        <v>0</v>
      </c>
      <c r="H135" s="30" t="b">
        <f t="shared" si="26"/>
        <v>0</v>
      </c>
      <c r="I135" s="35">
        <v>0.62847222222222221</v>
      </c>
      <c r="J135" s="35">
        <v>0.69166666666666676</v>
      </c>
      <c r="K135" s="35">
        <f t="shared" si="27"/>
        <v>6.3194444444444553E-2</v>
      </c>
      <c r="L135" s="32">
        <v>0.75138888888888899</v>
      </c>
      <c r="M135" s="32">
        <f t="shared" ref="M135:M164" si="31">(L135-D135)-H135-K135</f>
        <v>0.34097222222222218</v>
      </c>
      <c r="N135" s="23">
        <f t="shared" si="20"/>
        <v>2.2222222222222143E-2</v>
      </c>
      <c r="O135" s="33">
        <f t="shared" ref="O135:O164" si="32">O134+N135</f>
        <v>7.916666666666633E-2</v>
      </c>
      <c r="P135" s="67">
        <f>P134+N135</f>
        <v>7.916666666666633E-2</v>
      </c>
      <c r="Q135" s="71"/>
      <c r="R135" s="71"/>
    </row>
    <row r="136" spans="2:21" x14ac:dyDescent="0.25">
      <c r="B136" s="45">
        <v>43953</v>
      </c>
      <c r="C136" s="47" t="s">
        <v>9</v>
      </c>
      <c r="D136" s="35">
        <v>0.33680555555555558</v>
      </c>
      <c r="E136" s="35">
        <v>0.45277777777777778</v>
      </c>
      <c r="F136" s="35">
        <v>0.47083333333333338</v>
      </c>
      <c r="G136" s="30">
        <f t="shared" si="25"/>
        <v>1.8055555555555602E-2</v>
      </c>
      <c r="H136" s="30">
        <f t="shared" si="26"/>
        <v>4.1666666666667143E-3</v>
      </c>
      <c r="I136" s="35"/>
      <c r="J136" s="36"/>
      <c r="K136" s="35">
        <f t="shared" si="27"/>
        <v>0</v>
      </c>
      <c r="L136" s="32">
        <v>0.58819444444444446</v>
      </c>
      <c r="M136" s="32">
        <f t="shared" si="31"/>
        <v>0.24722222222222218</v>
      </c>
      <c r="N136" s="23">
        <f t="shared" si="20"/>
        <v>-7.1527777777777857E-2</v>
      </c>
      <c r="O136" s="33">
        <f t="shared" si="32"/>
        <v>7.6388888888884732E-3</v>
      </c>
      <c r="P136" s="67">
        <f>P135+N136</f>
        <v>7.6388888888884732E-3</v>
      </c>
      <c r="Q136" s="72">
        <f t="shared" ref="Q136" si="33">SUM(M132:M136)</f>
        <v>1.6013888888888888</v>
      </c>
      <c r="R136" s="72">
        <f t="shared" ref="R136" si="34">Q136/5</f>
        <v>0.32027777777777777</v>
      </c>
    </row>
    <row r="137" spans="2:21" x14ac:dyDescent="0.25">
      <c r="B137" s="46">
        <v>43954</v>
      </c>
      <c r="C137" s="48" t="s">
        <v>21</v>
      </c>
      <c r="D137" s="43"/>
      <c r="E137" s="43"/>
      <c r="F137" s="43"/>
      <c r="G137" s="34"/>
      <c r="H137" s="34"/>
      <c r="I137" s="28"/>
      <c r="J137" s="28"/>
      <c r="K137" s="43"/>
      <c r="L137" s="27"/>
      <c r="M137" s="27"/>
      <c r="N137" s="44"/>
      <c r="O137" s="26"/>
      <c r="P137" s="65"/>
      <c r="Q137" s="71"/>
      <c r="R137" s="71"/>
    </row>
    <row r="138" spans="2:21" x14ac:dyDescent="0.25">
      <c r="B138" s="46">
        <v>43955</v>
      </c>
      <c r="C138" s="48" t="s">
        <v>22</v>
      </c>
      <c r="D138" s="43"/>
      <c r="E138" s="43"/>
      <c r="F138" s="43"/>
      <c r="G138" s="34"/>
      <c r="H138" s="34"/>
      <c r="I138" s="28"/>
      <c r="J138" s="28"/>
      <c r="K138" s="43"/>
      <c r="L138" s="27"/>
      <c r="M138" s="27"/>
      <c r="N138" s="44"/>
      <c r="O138" s="26"/>
      <c r="P138" s="65"/>
      <c r="Q138" s="71"/>
      <c r="R138" s="71"/>
    </row>
    <row r="139" spans="2:21" x14ac:dyDescent="0.25">
      <c r="B139" s="45">
        <v>43956</v>
      </c>
      <c r="C139" s="47" t="s">
        <v>6</v>
      </c>
      <c r="D139" s="35">
        <v>0.32708333333333334</v>
      </c>
      <c r="E139" s="35">
        <v>0.45</v>
      </c>
      <c r="F139" s="35">
        <v>0.46597222222222223</v>
      </c>
      <c r="G139" s="30">
        <f t="shared" si="25"/>
        <v>1.5972222222222221E-2</v>
      </c>
      <c r="H139" s="30">
        <f t="shared" si="26"/>
        <v>2.0833333333333329E-3</v>
      </c>
      <c r="I139" s="35">
        <v>0.57430555555555551</v>
      </c>
      <c r="J139" s="35">
        <v>0.6166666666666667</v>
      </c>
      <c r="K139" s="35">
        <f t="shared" si="27"/>
        <v>4.2361111111111183E-2</v>
      </c>
      <c r="L139" s="32">
        <v>0.7104166666666667</v>
      </c>
      <c r="M139" s="32">
        <f t="shared" si="31"/>
        <v>0.33888888888888885</v>
      </c>
      <c r="N139" s="23">
        <f t="shared" si="20"/>
        <v>2.0138888888888817E-2</v>
      </c>
      <c r="O139" s="33">
        <f t="shared" si="32"/>
        <v>2.0138888888888817E-2</v>
      </c>
      <c r="P139" s="67">
        <f>P138+N139</f>
        <v>2.0138888888888817E-2</v>
      </c>
      <c r="Q139" s="71"/>
      <c r="R139" s="71"/>
    </row>
    <row r="140" spans="2:21" x14ac:dyDescent="0.25">
      <c r="B140" s="45">
        <v>43957</v>
      </c>
      <c r="C140" s="47" t="s">
        <v>7</v>
      </c>
      <c r="D140" s="35">
        <v>0.32430555555555557</v>
      </c>
      <c r="E140" s="35">
        <v>0.44444444444444442</v>
      </c>
      <c r="F140" s="35">
        <v>0.46319444444444446</v>
      </c>
      <c r="G140" s="30">
        <f t="shared" si="25"/>
        <v>1.8750000000000044E-2</v>
      </c>
      <c r="H140" s="30">
        <f t="shared" si="26"/>
        <v>4.8611111111111563E-3</v>
      </c>
      <c r="I140" s="35">
        <v>0.5756944444444444</v>
      </c>
      <c r="J140" s="35">
        <v>0.63055555555555554</v>
      </c>
      <c r="K140" s="35">
        <f t="shared" si="27"/>
        <v>5.4861111111111138E-2</v>
      </c>
      <c r="L140" s="32">
        <v>0.7270833333333333</v>
      </c>
      <c r="M140" s="32">
        <f t="shared" si="31"/>
        <v>0.34305555555555545</v>
      </c>
      <c r="N140" s="23">
        <f t="shared" si="20"/>
        <v>2.4305555555555414E-2</v>
      </c>
      <c r="O140" s="33">
        <f t="shared" si="32"/>
        <v>4.4444444444444231E-2</v>
      </c>
      <c r="P140" s="67">
        <f>P139+N140</f>
        <v>4.4444444444444231E-2</v>
      </c>
      <c r="Q140" s="71"/>
      <c r="R140" s="71"/>
    </row>
    <row r="141" spans="2:21" x14ac:dyDescent="0.25">
      <c r="B141" s="45">
        <v>43958</v>
      </c>
      <c r="C141" s="47" t="s">
        <v>23</v>
      </c>
      <c r="D141" s="35">
        <v>0.32013888888888892</v>
      </c>
      <c r="E141" s="35">
        <v>0.44166666666666665</v>
      </c>
      <c r="F141" s="35">
        <v>0.45763888888888887</v>
      </c>
      <c r="G141" s="30">
        <f t="shared" si="25"/>
        <v>1.5972222222222221E-2</v>
      </c>
      <c r="H141" s="30">
        <f t="shared" si="26"/>
        <v>2.0833333333333329E-3</v>
      </c>
      <c r="I141" s="35">
        <v>0.5756944444444444</v>
      </c>
      <c r="J141" s="35">
        <v>0.62986111111111109</v>
      </c>
      <c r="K141" s="35">
        <f t="shared" si="27"/>
        <v>5.4166666666666696E-2</v>
      </c>
      <c r="L141" s="32">
        <v>0.71666666666666667</v>
      </c>
      <c r="M141" s="32">
        <f t="shared" si="31"/>
        <v>0.34027777777777773</v>
      </c>
      <c r="N141" s="23">
        <f t="shared" si="20"/>
        <v>2.1527777777777701E-2</v>
      </c>
      <c r="O141" s="33">
        <f t="shared" si="32"/>
        <v>6.5972222222221932E-2</v>
      </c>
      <c r="P141" s="67">
        <f>P140+N141</f>
        <v>6.5972222222221932E-2</v>
      </c>
      <c r="Q141" s="71"/>
      <c r="R141" s="71"/>
    </row>
    <row r="142" spans="2:21" x14ac:dyDescent="0.25">
      <c r="B142" s="45">
        <v>43959</v>
      </c>
      <c r="C142" s="47" t="s">
        <v>8</v>
      </c>
      <c r="D142" s="35">
        <v>0.32083333333333336</v>
      </c>
      <c r="E142" s="35">
        <v>0.44375000000000003</v>
      </c>
      <c r="F142" s="35">
        <v>0.4597222222222222</v>
      </c>
      <c r="G142" s="30">
        <f t="shared" si="25"/>
        <v>1.5972222222222165E-2</v>
      </c>
      <c r="H142" s="30">
        <f t="shared" si="26"/>
        <v>2.0833333333332774E-3</v>
      </c>
      <c r="I142" s="35">
        <v>0.57291666666666663</v>
      </c>
      <c r="J142" s="35">
        <v>0.62569444444444444</v>
      </c>
      <c r="K142" s="35">
        <f t="shared" si="27"/>
        <v>5.2777777777777812E-2</v>
      </c>
      <c r="L142" s="32">
        <v>0.71805555555555556</v>
      </c>
      <c r="M142" s="32">
        <f t="shared" si="31"/>
        <v>0.34236111111111112</v>
      </c>
      <c r="N142" s="23">
        <f t="shared" si="20"/>
        <v>2.3611111111111083E-2</v>
      </c>
      <c r="O142" s="33">
        <f t="shared" si="32"/>
        <v>8.9583333333333015E-2</v>
      </c>
      <c r="P142" s="67">
        <f>P141+N142</f>
        <v>8.9583333333333015E-2</v>
      </c>
      <c r="Q142" s="71"/>
      <c r="R142" s="71"/>
    </row>
    <row r="143" spans="2:21" x14ac:dyDescent="0.25">
      <c r="B143" s="45">
        <v>43960</v>
      </c>
      <c r="C143" s="47" t="s">
        <v>9</v>
      </c>
      <c r="D143" s="35">
        <v>0.33749999999999997</v>
      </c>
      <c r="E143" s="35">
        <v>0.44305555555555554</v>
      </c>
      <c r="F143" s="35">
        <v>0.45555555555555555</v>
      </c>
      <c r="G143" s="30">
        <f t="shared" si="25"/>
        <v>1.2500000000000011E-2</v>
      </c>
      <c r="H143" s="30" t="b">
        <f t="shared" si="26"/>
        <v>0</v>
      </c>
      <c r="I143" s="36"/>
      <c r="J143" s="36"/>
      <c r="K143" s="35">
        <f t="shared" si="27"/>
        <v>0</v>
      </c>
      <c r="L143" s="32">
        <v>0.58750000000000002</v>
      </c>
      <c r="M143" s="32">
        <f t="shared" si="31"/>
        <v>0.25000000000000006</v>
      </c>
      <c r="N143" s="23">
        <f t="shared" si="20"/>
        <v>-6.8749999999999978E-2</v>
      </c>
      <c r="O143" s="33">
        <f t="shared" si="32"/>
        <v>2.0833333333333037E-2</v>
      </c>
      <c r="P143" s="67">
        <f>P142+N143</f>
        <v>2.0833333333333037E-2</v>
      </c>
      <c r="Q143" s="72">
        <f t="shared" ref="Q143" si="35">SUM(M139:M143)</f>
        <v>1.614583333333333</v>
      </c>
      <c r="R143" s="72">
        <f t="shared" ref="R143" si="36">Q143/5</f>
        <v>0.32291666666666663</v>
      </c>
    </row>
    <row r="144" spans="2:21" x14ac:dyDescent="0.25">
      <c r="B144" s="46">
        <v>43961</v>
      </c>
      <c r="C144" s="48" t="s">
        <v>21</v>
      </c>
      <c r="D144" s="43"/>
      <c r="E144" s="43"/>
      <c r="F144" s="43"/>
      <c r="G144" s="34"/>
      <c r="H144" s="34"/>
      <c r="I144" s="28"/>
      <c r="J144" s="28"/>
      <c r="K144" s="43"/>
      <c r="L144" s="27"/>
      <c r="M144" s="27"/>
      <c r="N144" s="44"/>
      <c r="O144" s="26"/>
      <c r="P144" s="65"/>
      <c r="Q144" s="71"/>
      <c r="R144" s="71"/>
    </row>
    <row r="145" spans="2:19" x14ac:dyDescent="0.25">
      <c r="B145" s="46">
        <v>43962</v>
      </c>
      <c r="C145" s="48" t="s">
        <v>22</v>
      </c>
      <c r="D145" s="43"/>
      <c r="E145" s="43"/>
      <c r="F145" s="43"/>
      <c r="G145" s="34"/>
      <c r="H145" s="34"/>
      <c r="I145" s="28"/>
      <c r="J145" s="28"/>
      <c r="K145" s="43"/>
      <c r="L145" s="27"/>
      <c r="M145" s="27"/>
      <c r="N145" s="44"/>
      <c r="O145" s="26"/>
      <c r="P145" s="65"/>
      <c r="Q145" s="71"/>
      <c r="R145" s="71"/>
    </row>
    <row r="146" spans="2:19" x14ac:dyDescent="0.25">
      <c r="B146" s="45">
        <v>43963</v>
      </c>
      <c r="C146" s="47" t="s">
        <v>6</v>
      </c>
      <c r="D146" s="35">
        <v>0.32222222222222224</v>
      </c>
      <c r="E146" s="35">
        <v>0.4465277777777778</v>
      </c>
      <c r="F146" s="35">
        <v>0.46180555555555558</v>
      </c>
      <c r="G146" s="30">
        <f t="shared" si="25"/>
        <v>1.5277777777777779E-2</v>
      </c>
      <c r="H146" s="30">
        <f t="shared" si="26"/>
        <v>1.3888888888888909E-3</v>
      </c>
      <c r="I146" s="35">
        <v>0.57361111111111118</v>
      </c>
      <c r="J146" s="35">
        <v>0.61875000000000002</v>
      </c>
      <c r="K146" s="35">
        <f t="shared" si="27"/>
        <v>4.513888888888884E-2</v>
      </c>
      <c r="L146" s="32">
        <v>0.70972222222222225</v>
      </c>
      <c r="M146" s="32">
        <f t="shared" si="31"/>
        <v>0.34097222222222229</v>
      </c>
      <c r="N146" s="23">
        <f t="shared" si="20"/>
        <v>2.2222222222222254E-2</v>
      </c>
      <c r="O146" s="33">
        <f t="shared" si="32"/>
        <v>2.2222222222222254E-2</v>
      </c>
      <c r="P146" s="67">
        <f>P145+N146</f>
        <v>2.2222222222222254E-2</v>
      </c>
      <c r="Q146" s="71"/>
      <c r="R146" s="71"/>
    </row>
    <row r="147" spans="2:19" x14ac:dyDescent="0.25">
      <c r="B147" s="45">
        <v>43964</v>
      </c>
      <c r="C147" s="47" t="s">
        <v>7</v>
      </c>
      <c r="D147" s="35">
        <v>0.30763888888888891</v>
      </c>
      <c r="E147" s="35">
        <v>0.44097222222222227</v>
      </c>
      <c r="F147" s="35">
        <v>0.4604166666666667</v>
      </c>
      <c r="G147" s="30">
        <f t="shared" si="25"/>
        <v>1.9444444444444431E-2</v>
      </c>
      <c r="H147" s="30">
        <f t="shared" si="26"/>
        <v>5.5555555555555428E-3</v>
      </c>
      <c r="I147" s="35">
        <v>0.57916666666666672</v>
      </c>
      <c r="J147" s="35">
        <v>0.62638888888888888</v>
      </c>
      <c r="K147" s="35">
        <f t="shared" si="27"/>
        <v>4.7222222222222165E-2</v>
      </c>
      <c r="L147" s="32">
        <v>0.70416666666666661</v>
      </c>
      <c r="M147" s="32">
        <f t="shared" si="31"/>
        <v>0.34375</v>
      </c>
      <c r="N147" s="23">
        <f t="shared" si="20"/>
        <v>2.4999999999999967E-2</v>
      </c>
      <c r="O147" s="33">
        <f t="shared" si="32"/>
        <v>4.7222222222222221E-2</v>
      </c>
      <c r="P147" s="67">
        <f>P146+N147</f>
        <v>4.7222222222222221E-2</v>
      </c>
      <c r="Q147" s="71"/>
      <c r="R147" s="71"/>
    </row>
    <row r="148" spans="2:19" x14ac:dyDescent="0.25">
      <c r="B148" s="45">
        <v>43965</v>
      </c>
      <c r="C148" s="47" t="s">
        <v>23</v>
      </c>
      <c r="D148" s="35">
        <v>0.31736111111111115</v>
      </c>
      <c r="E148" s="35">
        <v>0.44444444444444442</v>
      </c>
      <c r="F148" s="35">
        <v>0.46111111111111108</v>
      </c>
      <c r="G148" s="30">
        <f t="shared" si="25"/>
        <v>1.6666666666666663E-2</v>
      </c>
      <c r="H148" s="30">
        <f t="shared" si="26"/>
        <v>2.7777777777777748E-3</v>
      </c>
      <c r="I148" s="35">
        <v>0.57500000000000007</v>
      </c>
      <c r="J148" s="35">
        <v>0.62569444444444444</v>
      </c>
      <c r="K148" s="35">
        <f t="shared" si="27"/>
        <v>5.0694444444444375E-2</v>
      </c>
      <c r="L148" s="32">
        <v>0.71736111111111101</v>
      </c>
      <c r="M148" s="32">
        <f t="shared" si="31"/>
        <v>0.34652777777777771</v>
      </c>
      <c r="N148" s="23">
        <f t="shared" si="20"/>
        <v>2.7777777777777679E-2</v>
      </c>
      <c r="O148" s="33">
        <f t="shared" si="32"/>
        <v>7.49999999999999E-2</v>
      </c>
      <c r="P148" s="67">
        <f>P147+N148</f>
        <v>7.49999999999999E-2</v>
      </c>
      <c r="Q148" s="71"/>
      <c r="R148" s="71"/>
    </row>
    <row r="149" spans="2:19" x14ac:dyDescent="0.25">
      <c r="B149" s="45">
        <v>43966</v>
      </c>
      <c r="C149" s="47" t="s">
        <v>8</v>
      </c>
      <c r="D149" s="35">
        <v>0.3215277777777778</v>
      </c>
      <c r="E149" s="35">
        <v>0.44375000000000003</v>
      </c>
      <c r="F149" s="35">
        <v>0.4604166666666667</v>
      </c>
      <c r="G149" s="30">
        <f t="shared" si="25"/>
        <v>1.6666666666666663E-2</v>
      </c>
      <c r="H149" s="30">
        <f t="shared" si="26"/>
        <v>2.7777777777777748E-3</v>
      </c>
      <c r="I149" s="35">
        <v>0.5756944444444444</v>
      </c>
      <c r="J149" s="35">
        <v>0.62569444444444444</v>
      </c>
      <c r="K149" s="35">
        <f t="shared" si="27"/>
        <v>5.0000000000000044E-2</v>
      </c>
      <c r="L149" s="32">
        <v>0.71388888888888891</v>
      </c>
      <c r="M149" s="32">
        <f t="shared" si="31"/>
        <v>0.33958333333333329</v>
      </c>
      <c r="N149" s="23">
        <f t="shared" si="20"/>
        <v>2.0833333333333259E-2</v>
      </c>
      <c r="O149" s="33">
        <f t="shared" si="32"/>
        <v>9.5833333333333159E-2</v>
      </c>
      <c r="P149" s="67">
        <f>P148+N149</f>
        <v>9.5833333333333159E-2</v>
      </c>
      <c r="Q149" s="71"/>
      <c r="R149" s="71"/>
    </row>
    <row r="150" spans="2:19" x14ac:dyDescent="0.25">
      <c r="B150" s="45">
        <v>43967</v>
      </c>
      <c r="C150" s="47" t="s">
        <v>9</v>
      </c>
      <c r="D150" s="35">
        <v>0.32083333333333336</v>
      </c>
      <c r="E150" s="35">
        <v>0.44027777777777777</v>
      </c>
      <c r="F150" s="35">
        <v>0.45624999999999999</v>
      </c>
      <c r="G150" s="30">
        <f t="shared" si="25"/>
        <v>1.5972222222222221E-2</v>
      </c>
      <c r="H150" s="30">
        <f t="shared" si="26"/>
        <v>2.0833333333333329E-3</v>
      </c>
      <c r="I150" s="36"/>
      <c r="J150" s="36"/>
      <c r="K150" s="35">
        <f t="shared" si="27"/>
        <v>0</v>
      </c>
      <c r="L150" s="32">
        <v>0.58402777777777781</v>
      </c>
      <c r="M150" s="32">
        <f t="shared" si="31"/>
        <v>0.26111111111111113</v>
      </c>
      <c r="N150" s="23">
        <f t="shared" si="20"/>
        <v>-5.7638888888888906E-2</v>
      </c>
      <c r="O150" s="33">
        <f t="shared" si="32"/>
        <v>3.8194444444444253E-2</v>
      </c>
      <c r="P150" s="67">
        <f>P149+N150</f>
        <v>3.8194444444444253E-2</v>
      </c>
      <c r="Q150" s="72">
        <f t="shared" ref="Q150" si="37">SUM(M146:M150)</f>
        <v>1.6319444444444444</v>
      </c>
      <c r="R150" s="72">
        <f t="shared" ref="R150" si="38">Q150/5</f>
        <v>0.3263888888888889</v>
      </c>
    </row>
    <row r="151" spans="2:19" x14ac:dyDescent="0.25">
      <c r="B151" s="46">
        <v>43968</v>
      </c>
      <c r="C151" s="48" t="s">
        <v>21</v>
      </c>
      <c r="D151" s="43"/>
      <c r="E151" s="43"/>
      <c r="F151" s="43"/>
      <c r="G151" s="34"/>
      <c r="H151" s="34"/>
      <c r="I151" s="28"/>
      <c r="J151" s="28"/>
      <c r="K151" s="43"/>
      <c r="L151" s="27"/>
      <c r="M151" s="27"/>
      <c r="N151" s="44"/>
      <c r="O151" s="26"/>
      <c r="P151" s="65"/>
      <c r="Q151" s="71"/>
      <c r="R151" s="71"/>
    </row>
    <row r="152" spans="2:19" x14ac:dyDescent="0.25">
      <c r="B152" s="46">
        <v>43969</v>
      </c>
      <c r="C152" s="48" t="s">
        <v>22</v>
      </c>
      <c r="D152" s="43"/>
      <c r="E152" s="43"/>
      <c r="F152" s="43"/>
      <c r="G152" s="34"/>
      <c r="H152" s="34"/>
      <c r="I152" s="28"/>
      <c r="J152" s="28"/>
      <c r="K152" s="43"/>
      <c r="L152" s="27"/>
      <c r="M152" s="27"/>
      <c r="N152" s="44"/>
      <c r="O152" s="26"/>
      <c r="P152" s="65"/>
      <c r="Q152" s="71"/>
      <c r="R152" s="71"/>
    </row>
    <row r="153" spans="2:19" x14ac:dyDescent="0.25">
      <c r="B153" s="45">
        <v>43970</v>
      </c>
      <c r="C153" s="47" t="s">
        <v>6</v>
      </c>
      <c r="D153" s="35">
        <v>0.31111111111111112</v>
      </c>
      <c r="E153" s="35"/>
      <c r="F153" s="35"/>
      <c r="G153" s="30">
        <f t="shared" si="25"/>
        <v>0</v>
      </c>
      <c r="H153" s="30" t="b">
        <f t="shared" si="26"/>
        <v>0</v>
      </c>
      <c r="I153" s="35">
        <v>0.57361111111111118</v>
      </c>
      <c r="J153" s="35">
        <v>0.62847222222222221</v>
      </c>
      <c r="K153" s="35">
        <f t="shared" si="27"/>
        <v>5.4861111111111027E-2</v>
      </c>
      <c r="L153" s="32">
        <v>0.70763888888888893</v>
      </c>
      <c r="M153" s="32">
        <f t="shared" si="31"/>
        <v>0.34166666666666679</v>
      </c>
      <c r="N153" s="23">
        <f t="shared" si="20"/>
        <v>2.2916666666666752E-2</v>
      </c>
      <c r="O153" s="33">
        <f t="shared" si="32"/>
        <v>2.2916666666666752E-2</v>
      </c>
      <c r="P153" s="67">
        <f>P152+N153</f>
        <v>2.2916666666666752E-2</v>
      </c>
      <c r="Q153" s="71"/>
      <c r="R153" s="71"/>
    </row>
    <row r="154" spans="2:19" x14ac:dyDescent="0.25">
      <c r="B154" s="45">
        <v>43971</v>
      </c>
      <c r="C154" s="47" t="s">
        <v>7</v>
      </c>
      <c r="D154" s="73">
        <v>0.3125</v>
      </c>
      <c r="E154" s="73"/>
      <c r="F154" s="73"/>
      <c r="G154" s="74">
        <f t="shared" si="25"/>
        <v>0</v>
      </c>
      <c r="H154" s="74" t="b">
        <f t="shared" si="26"/>
        <v>0</v>
      </c>
      <c r="I154" s="73">
        <v>0.57291666666666663</v>
      </c>
      <c r="J154" s="73">
        <v>0.61458333333333337</v>
      </c>
      <c r="K154" s="73">
        <f t="shared" si="27"/>
        <v>4.1666666666666741E-2</v>
      </c>
      <c r="L154" s="75">
        <v>0.70833333333333337</v>
      </c>
      <c r="M154" s="32">
        <f t="shared" si="31"/>
        <v>0.35416666666666663</v>
      </c>
      <c r="N154" s="23">
        <f t="shared" si="20"/>
        <v>3.5416666666666596E-2</v>
      </c>
      <c r="O154" s="33">
        <f t="shared" si="32"/>
        <v>5.8333333333333348E-2</v>
      </c>
      <c r="P154" s="67">
        <f>P153+N154</f>
        <v>5.8333333333333348E-2</v>
      </c>
      <c r="Q154" s="71"/>
      <c r="R154" s="71"/>
    </row>
    <row r="155" spans="2:19" x14ac:dyDescent="0.25">
      <c r="B155" s="45">
        <v>43972</v>
      </c>
      <c r="C155" s="47" t="s">
        <v>23</v>
      </c>
      <c r="D155" s="35">
        <v>0.30763888888888891</v>
      </c>
      <c r="E155" s="35">
        <v>0.44444444444444442</v>
      </c>
      <c r="F155" s="35">
        <v>0.46249999999999997</v>
      </c>
      <c r="G155" s="30">
        <f t="shared" si="25"/>
        <v>1.8055555555555547E-2</v>
      </c>
      <c r="H155" s="30">
        <f t="shared" si="26"/>
        <v>4.1666666666666588E-3</v>
      </c>
      <c r="I155" s="35">
        <v>0.57222222222222219</v>
      </c>
      <c r="J155" s="35">
        <v>0.62638888888888888</v>
      </c>
      <c r="K155" s="35">
        <f t="shared" si="27"/>
        <v>5.4166666666666696E-2</v>
      </c>
      <c r="L155" s="32">
        <v>0.7055555555555556</v>
      </c>
      <c r="M155" s="32">
        <f t="shared" si="31"/>
        <v>0.33958333333333335</v>
      </c>
      <c r="N155" s="23">
        <f t="shared" si="20"/>
        <v>2.0833333333333315E-2</v>
      </c>
      <c r="O155" s="33">
        <f t="shared" si="32"/>
        <v>7.9166666666666663E-2</v>
      </c>
      <c r="P155" s="67">
        <f>P154+N155</f>
        <v>7.9166666666666663E-2</v>
      </c>
      <c r="Q155" s="71"/>
      <c r="R155" s="71"/>
    </row>
    <row r="156" spans="2:19" x14ac:dyDescent="0.25">
      <c r="B156" s="45">
        <v>43973</v>
      </c>
      <c r="C156" s="47" t="s">
        <v>8</v>
      </c>
      <c r="D156" s="35">
        <v>0.31041666666666667</v>
      </c>
      <c r="E156" s="35">
        <v>0.36388888888888887</v>
      </c>
      <c r="F156" s="35">
        <v>0.40972222222222227</v>
      </c>
      <c r="G156" s="30">
        <f t="shared" si="25"/>
        <v>4.5833333333333393E-2</v>
      </c>
      <c r="H156" s="30">
        <f t="shared" si="26"/>
        <v>3.1944444444444504E-2</v>
      </c>
      <c r="I156" s="35">
        <v>0.57291666666666663</v>
      </c>
      <c r="J156" s="35">
        <v>0.62152777777777779</v>
      </c>
      <c r="K156" s="35">
        <f t="shared" si="27"/>
        <v>4.861111111111116E-2</v>
      </c>
      <c r="L156" s="32">
        <v>0.70833333333333337</v>
      </c>
      <c r="M156" s="32">
        <f t="shared" si="31"/>
        <v>0.31736111111111104</v>
      </c>
      <c r="N156" s="23">
        <f t="shared" si="20"/>
        <v>-1.388888888888995E-3</v>
      </c>
      <c r="O156" s="33">
        <f t="shared" si="32"/>
        <v>7.7777777777777668E-2</v>
      </c>
      <c r="P156" s="67">
        <f>P155+N156</f>
        <v>7.7777777777777668E-2</v>
      </c>
      <c r="Q156" s="71"/>
      <c r="R156" s="71"/>
      <c r="S156" t="s">
        <v>33</v>
      </c>
    </row>
    <row r="157" spans="2:19" x14ac:dyDescent="0.25">
      <c r="B157" s="45">
        <v>43974</v>
      </c>
      <c r="C157" s="47" t="s">
        <v>9</v>
      </c>
      <c r="D157" s="35">
        <v>0.31041666666666667</v>
      </c>
      <c r="E157" s="35">
        <v>0.44513888888888892</v>
      </c>
      <c r="F157" s="35">
        <v>0.46111111111111108</v>
      </c>
      <c r="G157" s="30">
        <f t="shared" si="25"/>
        <v>1.5972222222222165E-2</v>
      </c>
      <c r="H157" s="30">
        <f t="shared" si="26"/>
        <v>2.0833333333332774E-3</v>
      </c>
      <c r="I157" s="36"/>
      <c r="J157" s="36"/>
      <c r="K157" s="35">
        <f t="shared" si="27"/>
        <v>0</v>
      </c>
      <c r="L157" s="32">
        <v>0.58611111111111114</v>
      </c>
      <c r="M157" s="32">
        <f t="shared" si="31"/>
        <v>0.27361111111111119</v>
      </c>
      <c r="N157" s="23">
        <f t="shared" si="20"/>
        <v>-4.513888888888884E-2</v>
      </c>
      <c r="O157" s="33">
        <f t="shared" si="32"/>
        <v>3.2638888888888828E-2</v>
      </c>
      <c r="P157" s="67">
        <f>P156+N157</f>
        <v>3.2638888888888828E-2</v>
      </c>
      <c r="Q157" s="72">
        <f t="shared" ref="Q157" si="39">SUM(M153:M157)</f>
        <v>1.6263888888888891</v>
      </c>
      <c r="R157" s="72">
        <f t="shared" ref="R157" si="40">Q157/5</f>
        <v>0.32527777777777783</v>
      </c>
    </row>
    <row r="158" spans="2:19" x14ac:dyDescent="0.25">
      <c r="B158" s="46">
        <v>43975</v>
      </c>
      <c r="C158" s="48" t="s">
        <v>21</v>
      </c>
      <c r="D158" s="43"/>
      <c r="E158" s="43"/>
      <c r="F158" s="43"/>
      <c r="G158" s="34"/>
      <c r="H158" s="34"/>
      <c r="I158" s="28"/>
      <c r="J158" s="28"/>
      <c r="K158" s="43"/>
      <c r="L158" s="27"/>
      <c r="M158" s="27"/>
      <c r="N158" s="44"/>
      <c r="O158" s="26"/>
      <c r="P158" s="65"/>
      <c r="Q158" s="71"/>
      <c r="R158" s="71"/>
    </row>
    <row r="159" spans="2:19" x14ac:dyDescent="0.25">
      <c r="B159" s="46">
        <v>43976</v>
      </c>
      <c r="C159" s="48" t="s">
        <v>22</v>
      </c>
      <c r="D159" s="43"/>
      <c r="E159" s="43"/>
      <c r="F159" s="43"/>
      <c r="G159" s="34"/>
      <c r="H159" s="34"/>
      <c r="I159" s="28"/>
      <c r="J159" s="28"/>
      <c r="K159" s="43"/>
      <c r="L159" s="27"/>
      <c r="M159" s="27"/>
      <c r="N159" s="44"/>
      <c r="O159" s="26"/>
      <c r="P159" s="65"/>
      <c r="Q159" s="71"/>
      <c r="R159" s="71"/>
    </row>
    <row r="160" spans="2:19" x14ac:dyDescent="0.25">
      <c r="B160" s="45">
        <v>43977</v>
      </c>
      <c r="C160" s="47" t="s">
        <v>6</v>
      </c>
      <c r="D160" s="76">
        <v>0.31180555555555556</v>
      </c>
      <c r="E160" s="76">
        <v>0.44513888888888892</v>
      </c>
      <c r="F160" s="76">
        <v>0.46180555555555558</v>
      </c>
      <c r="G160" s="77">
        <f t="shared" si="25"/>
        <v>1.6666666666666663E-2</v>
      </c>
      <c r="H160" s="77">
        <f t="shared" si="26"/>
        <v>2.7777777777777748E-3</v>
      </c>
      <c r="I160" s="76">
        <v>0.57291666666666663</v>
      </c>
      <c r="J160" s="76">
        <v>0.63472222222222219</v>
      </c>
      <c r="K160" s="76">
        <f t="shared" si="27"/>
        <v>6.1805555555555558E-2</v>
      </c>
      <c r="L160" s="78">
        <v>0.72152777777777777</v>
      </c>
      <c r="M160" s="32">
        <f t="shared" si="31"/>
        <v>0.34513888888888888</v>
      </c>
      <c r="N160" s="23">
        <f t="shared" si="20"/>
        <v>2.6388888888888851E-2</v>
      </c>
      <c r="O160" s="33">
        <f t="shared" si="32"/>
        <v>2.6388888888888851E-2</v>
      </c>
      <c r="P160" s="67">
        <f>P159+N160</f>
        <v>2.6388888888888851E-2</v>
      </c>
      <c r="Q160" s="71"/>
      <c r="R160" s="71"/>
      <c r="S160" t="s">
        <v>34</v>
      </c>
    </row>
    <row r="161" spans="2:18" x14ac:dyDescent="0.25">
      <c r="B161" s="45">
        <v>43978</v>
      </c>
      <c r="C161" s="47" t="s">
        <v>7</v>
      </c>
      <c r="D161" s="35">
        <v>0.31319444444444444</v>
      </c>
      <c r="E161" s="35">
        <v>0.44027777777777777</v>
      </c>
      <c r="F161" s="35">
        <v>0.45347222222222222</v>
      </c>
      <c r="G161" s="30">
        <f t="shared" si="25"/>
        <v>1.3194444444444453E-2</v>
      </c>
      <c r="H161" s="30" t="b">
        <f t="shared" si="26"/>
        <v>0</v>
      </c>
      <c r="I161" s="35">
        <v>0.57361111111111118</v>
      </c>
      <c r="J161" s="35">
        <v>0.62083333333333335</v>
      </c>
      <c r="K161" s="35">
        <f t="shared" si="27"/>
        <v>4.7222222222222165E-2</v>
      </c>
      <c r="L161" s="32">
        <v>0.70486111111111116</v>
      </c>
      <c r="M161" s="32">
        <f t="shared" si="31"/>
        <v>0.34444444444444455</v>
      </c>
      <c r="N161" s="23">
        <f t="shared" si="20"/>
        <v>2.569444444444452E-2</v>
      </c>
      <c r="O161" s="33">
        <f t="shared" si="32"/>
        <v>5.208333333333337E-2</v>
      </c>
      <c r="P161" s="67">
        <f>P160+N161</f>
        <v>5.208333333333337E-2</v>
      </c>
      <c r="Q161" s="71"/>
      <c r="R161" s="71"/>
    </row>
    <row r="162" spans="2:18" x14ac:dyDescent="0.25">
      <c r="B162" s="45">
        <v>43979</v>
      </c>
      <c r="C162" s="47" t="s">
        <v>23</v>
      </c>
      <c r="D162" s="35">
        <v>0.30624999999999997</v>
      </c>
      <c r="E162" s="35">
        <v>0.44444444444444442</v>
      </c>
      <c r="F162" s="35">
        <v>0.4597222222222222</v>
      </c>
      <c r="G162" s="30">
        <f t="shared" si="25"/>
        <v>1.5277777777777779E-2</v>
      </c>
      <c r="H162" s="30">
        <f t="shared" si="26"/>
        <v>1.3888888888888909E-3</v>
      </c>
      <c r="I162" s="35">
        <v>0.57361111111111118</v>
      </c>
      <c r="J162" s="35">
        <v>0.62152777777777779</v>
      </c>
      <c r="K162" s="35">
        <f t="shared" si="27"/>
        <v>4.7916666666666607E-2</v>
      </c>
      <c r="L162" s="32">
        <v>0.69930555555555562</v>
      </c>
      <c r="M162" s="32">
        <f t="shared" si="31"/>
        <v>0.34375000000000017</v>
      </c>
      <c r="N162" s="23">
        <f t="shared" si="20"/>
        <v>2.5000000000000133E-2</v>
      </c>
      <c r="O162" s="33">
        <f t="shared" si="32"/>
        <v>7.7083333333333504E-2</v>
      </c>
      <c r="P162" s="67">
        <f>P161+N162</f>
        <v>7.7083333333333504E-2</v>
      </c>
      <c r="Q162" s="71"/>
      <c r="R162" s="71"/>
    </row>
    <row r="163" spans="2:18" x14ac:dyDescent="0.25">
      <c r="B163" s="45">
        <v>43980</v>
      </c>
      <c r="C163" s="47" t="s">
        <v>8</v>
      </c>
      <c r="D163" s="35">
        <v>0.31458333333333333</v>
      </c>
      <c r="E163" s="35">
        <v>0.45069444444444445</v>
      </c>
      <c r="F163" s="35">
        <v>0.46875</v>
      </c>
      <c r="G163" s="30">
        <f t="shared" si="25"/>
        <v>1.8055555555555547E-2</v>
      </c>
      <c r="H163" s="30">
        <f t="shared" si="26"/>
        <v>4.1666666666666588E-3</v>
      </c>
      <c r="I163" s="35">
        <v>0.57708333333333328</v>
      </c>
      <c r="J163" s="35">
        <v>0.62083333333333335</v>
      </c>
      <c r="K163" s="35">
        <f t="shared" si="27"/>
        <v>4.3750000000000067E-2</v>
      </c>
      <c r="L163" s="32">
        <v>0.70624999999999993</v>
      </c>
      <c r="M163" s="32">
        <f t="shared" si="31"/>
        <v>0.34374999999999989</v>
      </c>
      <c r="N163" s="23">
        <f t="shared" si="20"/>
        <v>2.4999999999999856E-2</v>
      </c>
      <c r="O163" s="33">
        <f t="shared" si="32"/>
        <v>0.10208333333333336</v>
      </c>
      <c r="P163" s="67">
        <f>P162+N163</f>
        <v>0.10208333333333336</v>
      </c>
      <c r="Q163" s="71"/>
      <c r="R163" s="71"/>
    </row>
    <row r="164" spans="2:18" x14ac:dyDescent="0.25">
      <c r="B164" s="45">
        <v>43981</v>
      </c>
      <c r="C164" s="47" t="s">
        <v>9</v>
      </c>
      <c r="D164" s="35">
        <v>0.31736111111111115</v>
      </c>
      <c r="E164" s="35">
        <v>0.44027777777777777</v>
      </c>
      <c r="F164" s="35">
        <v>0.45624999999999999</v>
      </c>
      <c r="G164" s="30">
        <f t="shared" si="25"/>
        <v>1.5972222222222221E-2</v>
      </c>
      <c r="H164" s="30">
        <f t="shared" si="26"/>
        <v>2.0833333333333329E-3</v>
      </c>
      <c r="I164" s="35"/>
      <c r="J164" s="36"/>
      <c r="K164" s="35">
        <f t="shared" si="27"/>
        <v>0</v>
      </c>
      <c r="L164" s="32">
        <v>0.58680555555555558</v>
      </c>
      <c r="M164" s="32">
        <f t="shared" si="31"/>
        <v>0.2673611111111111</v>
      </c>
      <c r="N164" s="23">
        <f t="shared" si="20"/>
        <v>-5.1388888888888928E-2</v>
      </c>
      <c r="O164" s="33">
        <f t="shared" si="32"/>
        <v>5.0694444444444431E-2</v>
      </c>
      <c r="P164" s="67">
        <f>P163+N164</f>
        <v>5.0694444444444431E-2</v>
      </c>
      <c r="Q164" s="72">
        <f t="shared" ref="Q164" si="41">SUM(M160:M164)</f>
        <v>1.6444444444444448</v>
      </c>
      <c r="R164" s="72">
        <f t="shared" ref="R164" si="42">Q164/5</f>
        <v>0.32888888888888895</v>
      </c>
    </row>
    <row r="165" spans="2:18" x14ac:dyDescent="0.25">
      <c r="B165" s="46">
        <v>43982</v>
      </c>
      <c r="C165" s="48" t="s">
        <v>21</v>
      </c>
      <c r="D165" s="43"/>
      <c r="E165" s="43"/>
      <c r="F165" s="43"/>
      <c r="G165" s="34"/>
      <c r="H165" s="34"/>
      <c r="I165" s="28"/>
      <c r="J165" s="28"/>
      <c r="K165" s="43"/>
      <c r="L165" s="27"/>
      <c r="M165" s="27"/>
      <c r="N165" s="44"/>
      <c r="O165" s="26"/>
      <c r="P165" s="65"/>
      <c r="Q165" s="71"/>
      <c r="R165" s="71"/>
    </row>
    <row r="166" spans="2:18" x14ac:dyDescent="0.25">
      <c r="B166" s="46">
        <v>43983</v>
      </c>
      <c r="C166" s="48" t="s">
        <v>22</v>
      </c>
      <c r="D166" s="43"/>
      <c r="E166" s="43"/>
      <c r="F166" s="43"/>
      <c r="G166" s="34"/>
      <c r="H166" s="34"/>
      <c r="I166" s="28"/>
      <c r="J166" s="28"/>
      <c r="K166" s="43"/>
      <c r="L166" s="27"/>
      <c r="M166" s="27"/>
      <c r="N166" s="44"/>
      <c r="O166" s="26"/>
      <c r="P166" s="65"/>
      <c r="Q166" s="71"/>
      <c r="R166" s="71"/>
    </row>
    <row r="167" spans="2:18" x14ac:dyDescent="0.25">
      <c r="B167" s="45">
        <v>43984</v>
      </c>
      <c r="C167" s="47" t="s">
        <v>6</v>
      </c>
      <c r="D167" s="35">
        <v>0.33888888888888885</v>
      </c>
      <c r="E167" s="35">
        <v>0.43958333333333338</v>
      </c>
      <c r="F167" s="35">
        <v>0.45902777777777781</v>
      </c>
      <c r="G167" s="30">
        <f t="shared" ref="G167:G192" si="43">F167-E167</f>
        <v>1.9444444444444431E-2</v>
      </c>
      <c r="H167" s="30">
        <f t="shared" ref="H167:H192" si="44">IF(G167&gt;$I$6,G167-$I$6)</f>
        <v>5.5555555555555428E-3</v>
      </c>
      <c r="I167" s="35">
        <v>0.62708333333333333</v>
      </c>
      <c r="J167" s="35">
        <v>0.68680555555555556</v>
      </c>
      <c r="K167" s="35">
        <f t="shared" ref="K167:K192" si="45">J167-I167</f>
        <v>5.9722222222222232E-2</v>
      </c>
      <c r="L167" s="32">
        <v>0.75347222222222221</v>
      </c>
      <c r="M167" s="32">
        <f t="shared" ref="M167:M192" si="46">(L167-D167)-H167-K167</f>
        <v>0.34930555555555559</v>
      </c>
      <c r="N167" s="23">
        <f t="shared" si="20"/>
        <v>3.0555555555555558E-2</v>
      </c>
      <c r="O167" s="33">
        <f t="shared" ref="O167:O192" si="47">O166+N167</f>
        <v>3.0555555555555558E-2</v>
      </c>
      <c r="P167" s="67">
        <f>P166+N167</f>
        <v>3.0555555555555558E-2</v>
      </c>
      <c r="Q167" s="71"/>
      <c r="R167" s="71"/>
    </row>
    <row r="168" spans="2:18" x14ac:dyDescent="0.25">
      <c r="B168" s="45">
        <v>43985</v>
      </c>
      <c r="C168" s="47" t="s">
        <v>7</v>
      </c>
      <c r="D168" s="35">
        <v>0.37013888888888885</v>
      </c>
      <c r="E168" s="35">
        <v>0.45347222222222222</v>
      </c>
      <c r="F168" s="35">
        <v>0.47152777777777777</v>
      </c>
      <c r="G168" s="30">
        <f t="shared" si="43"/>
        <v>1.8055555555555547E-2</v>
      </c>
      <c r="H168" s="30">
        <f t="shared" si="44"/>
        <v>4.1666666666666588E-3</v>
      </c>
      <c r="I168" s="35">
        <v>0.625</v>
      </c>
      <c r="J168" s="35">
        <v>0.69236111111111109</v>
      </c>
      <c r="K168" s="35">
        <f t="shared" si="45"/>
        <v>6.7361111111111094E-2</v>
      </c>
      <c r="L168" s="32">
        <v>0.75069444444444444</v>
      </c>
      <c r="M168" s="32">
        <f t="shared" si="46"/>
        <v>0.30902777777777785</v>
      </c>
      <c r="N168" s="23">
        <f t="shared" si="20"/>
        <v>-9.7222222222221877E-3</v>
      </c>
      <c r="O168" s="33">
        <f t="shared" si="47"/>
        <v>2.083333333333337E-2</v>
      </c>
      <c r="P168" s="67">
        <f>P167+N168</f>
        <v>2.083333333333337E-2</v>
      </c>
      <c r="Q168" s="71"/>
      <c r="R168" s="71"/>
    </row>
    <row r="169" spans="2:18" x14ac:dyDescent="0.25">
      <c r="B169" s="45">
        <v>43986</v>
      </c>
      <c r="C169" s="47" t="s">
        <v>23</v>
      </c>
      <c r="D169" s="35">
        <v>0.33055555555555555</v>
      </c>
      <c r="E169" s="35">
        <v>0.45624999999999999</v>
      </c>
      <c r="F169" s="35">
        <v>0.47083333333333338</v>
      </c>
      <c r="G169" s="30">
        <f t="shared" si="43"/>
        <v>1.4583333333333393E-2</v>
      </c>
      <c r="H169" s="30">
        <f t="shared" si="44"/>
        <v>6.9444444444450443E-4</v>
      </c>
      <c r="I169" s="35">
        <v>0.62638888888888888</v>
      </c>
      <c r="J169" s="35">
        <v>0.68541666666666667</v>
      </c>
      <c r="K169" s="35">
        <f t="shared" si="45"/>
        <v>5.902777777777779E-2</v>
      </c>
      <c r="L169" s="32">
        <v>0.75069444444444444</v>
      </c>
      <c r="M169" s="32">
        <f t="shared" si="46"/>
        <v>0.36041666666666661</v>
      </c>
      <c r="N169" s="23">
        <f t="shared" si="20"/>
        <v>4.1666666666666574E-2</v>
      </c>
      <c r="O169" s="33">
        <f t="shared" si="47"/>
        <v>6.2499999999999944E-2</v>
      </c>
      <c r="P169" s="67">
        <f>P168+N169</f>
        <v>6.2499999999999944E-2</v>
      </c>
      <c r="Q169" s="71"/>
      <c r="R169" s="71"/>
    </row>
    <row r="170" spans="2:18" x14ac:dyDescent="0.25">
      <c r="B170" s="45">
        <v>43987</v>
      </c>
      <c r="C170" s="47" t="s">
        <v>8</v>
      </c>
      <c r="D170" s="35">
        <v>0.32083333333333336</v>
      </c>
      <c r="E170" s="35">
        <v>0.45069444444444445</v>
      </c>
      <c r="F170" s="35">
        <v>0.46458333333333335</v>
      </c>
      <c r="G170" s="30">
        <f t="shared" si="43"/>
        <v>1.3888888888888895E-2</v>
      </c>
      <c r="H170" s="30" t="b">
        <f>IF(G170&gt;$I$6,G170-$I$6)</f>
        <v>0</v>
      </c>
      <c r="I170" s="35">
        <v>0.62708333333333333</v>
      </c>
      <c r="J170" s="35">
        <v>0.69374999999999998</v>
      </c>
      <c r="K170" s="35">
        <f t="shared" si="45"/>
        <v>6.6666666666666652E-2</v>
      </c>
      <c r="L170" s="32">
        <v>0.75069444444444444</v>
      </c>
      <c r="M170" s="32">
        <f t="shared" si="46"/>
        <v>0.36319444444444443</v>
      </c>
      <c r="N170" s="23">
        <f t="shared" si="20"/>
        <v>4.4444444444444398E-2</v>
      </c>
      <c r="O170" s="33">
        <f t="shared" si="47"/>
        <v>0.10694444444444434</v>
      </c>
      <c r="P170" s="67">
        <f>P169+N170</f>
        <v>0.10694444444444434</v>
      </c>
      <c r="Q170" s="71"/>
      <c r="R170" s="71"/>
    </row>
    <row r="171" spans="2:18" x14ac:dyDescent="0.25">
      <c r="B171" s="45">
        <v>43988</v>
      </c>
      <c r="C171" s="47" t="s">
        <v>9</v>
      </c>
      <c r="D171" s="35">
        <v>0.33124999999999999</v>
      </c>
      <c r="E171" s="35">
        <v>0.44027777777777777</v>
      </c>
      <c r="F171" s="35">
        <v>0.45624999999999999</v>
      </c>
      <c r="G171" s="30">
        <f t="shared" si="43"/>
        <v>1.5972222222222221E-2</v>
      </c>
      <c r="H171" s="30">
        <f t="shared" si="44"/>
        <v>2.0833333333333329E-3</v>
      </c>
      <c r="I171" s="36"/>
      <c r="J171" s="36"/>
      <c r="K171" s="35">
        <f t="shared" si="45"/>
        <v>0</v>
      </c>
      <c r="L171" s="32">
        <v>0.58472222222222225</v>
      </c>
      <c r="M171" s="32">
        <f t="shared" si="46"/>
        <v>0.25138888888888894</v>
      </c>
      <c r="N171" s="23">
        <f t="shared" si="20"/>
        <v>-6.7361111111111094E-2</v>
      </c>
      <c r="O171" s="33">
        <f t="shared" si="47"/>
        <v>3.9583333333333248E-2</v>
      </c>
      <c r="P171" s="67">
        <f>P170+N171</f>
        <v>3.9583333333333248E-2</v>
      </c>
      <c r="Q171" s="72">
        <f t="shared" ref="Q171" si="48">SUM(M167:M171)</f>
        <v>1.6333333333333333</v>
      </c>
      <c r="R171" s="72">
        <f t="shared" ref="R171" si="49">Q171/5</f>
        <v>0.32666666666666666</v>
      </c>
    </row>
    <row r="172" spans="2:18" x14ac:dyDescent="0.25">
      <c r="B172" s="46">
        <v>43989</v>
      </c>
      <c r="C172" s="48" t="s">
        <v>21</v>
      </c>
      <c r="D172" s="43"/>
      <c r="E172" s="43"/>
      <c r="F172" s="43"/>
      <c r="G172" s="34"/>
      <c r="H172" s="34"/>
      <c r="I172" s="28"/>
      <c r="J172" s="28"/>
      <c r="K172" s="43"/>
      <c r="L172" s="27"/>
      <c r="M172" s="27"/>
      <c r="N172" s="44"/>
      <c r="O172" s="26"/>
      <c r="P172" s="65"/>
      <c r="Q172" s="71"/>
      <c r="R172" s="71"/>
    </row>
    <row r="173" spans="2:18" x14ac:dyDescent="0.25">
      <c r="B173" s="46">
        <v>43990</v>
      </c>
      <c r="C173" s="48" t="s">
        <v>22</v>
      </c>
      <c r="D173" s="43"/>
      <c r="E173" s="43"/>
      <c r="F173" s="43"/>
      <c r="G173" s="34"/>
      <c r="H173" s="34"/>
      <c r="I173" s="28"/>
      <c r="J173" s="28"/>
      <c r="K173" s="43"/>
      <c r="L173" s="27"/>
      <c r="M173" s="27"/>
      <c r="N173" s="44"/>
      <c r="O173" s="26"/>
      <c r="P173" s="65"/>
      <c r="Q173" s="71"/>
      <c r="R173" s="71"/>
    </row>
    <row r="174" spans="2:18" x14ac:dyDescent="0.25">
      <c r="B174" s="45">
        <v>43991</v>
      </c>
      <c r="C174" s="47" t="s">
        <v>6</v>
      </c>
      <c r="D174" s="35">
        <v>0.34861111111111115</v>
      </c>
      <c r="E174" s="35">
        <v>0.45416666666666666</v>
      </c>
      <c r="F174" s="35">
        <v>0.46875</v>
      </c>
      <c r="G174" s="30">
        <f t="shared" si="43"/>
        <v>1.4583333333333337E-2</v>
      </c>
      <c r="H174" s="30">
        <f t="shared" si="44"/>
        <v>6.9444444444444892E-4</v>
      </c>
      <c r="I174" s="35">
        <v>0.62777777777777777</v>
      </c>
      <c r="J174" s="35">
        <v>0.69305555555555554</v>
      </c>
      <c r="K174" s="35">
        <f t="shared" si="45"/>
        <v>6.5277777777777768E-2</v>
      </c>
      <c r="L174" s="32">
        <v>0.75555555555555554</v>
      </c>
      <c r="M174" s="32">
        <f t="shared" si="46"/>
        <v>0.34097222222222218</v>
      </c>
      <c r="N174" s="23">
        <f t="shared" ref="N174:N181" si="50">M174-$D$6</f>
        <v>2.2222222222222143E-2</v>
      </c>
      <c r="O174" s="33">
        <f t="shared" si="47"/>
        <v>2.2222222222222143E-2</v>
      </c>
      <c r="P174" s="67">
        <f>P173+N174</f>
        <v>2.2222222222222143E-2</v>
      </c>
      <c r="Q174" s="71"/>
      <c r="R174" s="71"/>
    </row>
    <row r="175" spans="2:18" x14ac:dyDescent="0.25">
      <c r="B175" s="45">
        <v>43992</v>
      </c>
      <c r="C175" s="47" t="s">
        <v>7</v>
      </c>
      <c r="D175" s="35">
        <v>0.3298611111111111</v>
      </c>
      <c r="E175" s="35">
        <v>0.43958333333333338</v>
      </c>
      <c r="F175" s="35">
        <v>0.45416666666666666</v>
      </c>
      <c r="G175" s="30">
        <f t="shared" si="43"/>
        <v>1.4583333333333282E-2</v>
      </c>
      <c r="H175" s="30">
        <f t="shared" si="44"/>
        <v>6.9444444444439341E-4</v>
      </c>
      <c r="I175" s="35">
        <v>0.62638888888888888</v>
      </c>
      <c r="J175" s="35">
        <v>0.69791666666666663</v>
      </c>
      <c r="K175" s="79">
        <f t="shared" si="45"/>
        <v>7.1527777777777746E-2</v>
      </c>
      <c r="L175" s="32">
        <v>0.75347222222222221</v>
      </c>
      <c r="M175" s="32">
        <f t="shared" si="46"/>
        <v>0.35138888888888897</v>
      </c>
      <c r="N175" s="23">
        <f t="shared" si="50"/>
        <v>3.2638888888888939E-2</v>
      </c>
      <c r="O175" s="33">
        <f t="shared" si="47"/>
        <v>5.4861111111111083E-2</v>
      </c>
      <c r="P175" s="67">
        <f>P174+N175</f>
        <v>5.4861111111111083E-2</v>
      </c>
      <c r="Q175" s="71"/>
      <c r="R175" s="71"/>
    </row>
    <row r="176" spans="2:18" x14ac:dyDescent="0.25">
      <c r="B176" s="45">
        <v>43993</v>
      </c>
      <c r="C176" s="47" t="s">
        <v>23</v>
      </c>
      <c r="D176" s="35">
        <v>0.3354166666666667</v>
      </c>
      <c r="E176" s="35">
        <v>0.44375000000000003</v>
      </c>
      <c r="F176" s="35">
        <v>0.46249999999999997</v>
      </c>
      <c r="G176" s="30">
        <f t="shared" si="43"/>
        <v>1.8749999999999933E-2</v>
      </c>
      <c r="H176" s="30">
        <f t="shared" si="44"/>
        <v>4.8611111111110453E-3</v>
      </c>
      <c r="I176" s="35">
        <v>0.625</v>
      </c>
      <c r="J176" s="35">
        <v>0.68611111111111101</v>
      </c>
      <c r="K176" s="35">
        <f t="shared" si="45"/>
        <v>6.1111111111111005E-2</v>
      </c>
      <c r="L176" s="32">
        <v>0.75069444444444444</v>
      </c>
      <c r="M176" s="32">
        <f t="shared" si="46"/>
        <v>0.3493055555555557</v>
      </c>
      <c r="N176" s="23">
        <f t="shared" si="50"/>
        <v>3.0555555555555669E-2</v>
      </c>
      <c r="O176" s="33">
        <f t="shared" si="47"/>
        <v>8.5416666666666752E-2</v>
      </c>
      <c r="P176" s="67">
        <f>P175+N176</f>
        <v>8.5416666666666752E-2</v>
      </c>
      <c r="Q176" s="71"/>
      <c r="R176" s="71"/>
    </row>
    <row r="177" spans="2:18" x14ac:dyDescent="0.25">
      <c r="B177" s="45">
        <v>43994</v>
      </c>
      <c r="C177" s="47" t="s">
        <v>8</v>
      </c>
      <c r="D177" s="35">
        <v>0.34652777777777777</v>
      </c>
      <c r="E177" s="35">
        <v>0.44027777777777777</v>
      </c>
      <c r="F177" s="35">
        <v>0.45694444444444443</v>
      </c>
      <c r="G177" s="30">
        <f t="shared" si="43"/>
        <v>1.6666666666666663E-2</v>
      </c>
      <c r="H177" s="30">
        <f t="shared" si="44"/>
        <v>2.7777777777777748E-3</v>
      </c>
      <c r="I177" s="35">
        <v>0.62708333333333333</v>
      </c>
      <c r="J177" s="35">
        <v>0.69097222222222221</v>
      </c>
      <c r="K177" s="35">
        <f t="shared" si="45"/>
        <v>6.3888888888888884E-2</v>
      </c>
      <c r="L177" s="32">
        <v>0.75069444444444444</v>
      </c>
      <c r="M177" s="32">
        <f t="shared" si="46"/>
        <v>0.33750000000000002</v>
      </c>
      <c r="N177" s="23">
        <f t="shared" si="50"/>
        <v>1.8749999999999989E-2</v>
      </c>
      <c r="O177" s="33">
        <f t="shared" si="47"/>
        <v>0.10416666666666674</v>
      </c>
      <c r="P177" s="67">
        <f>P176+N177</f>
        <v>0.10416666666666674</v>
      </c>
      <c r="Q177" s="71"/>
      <c r="R177" s="71"/>
    </row>
    <row r="178" spans="2:18" x14ac:dyDescent="0.25">
      <c r="B178" s="45">
        <v>43995</v>
      </c>
      <c r="C178" s="47" t="s">
        <v>9</v>
      </c>
      <c r="D178" s="35">
        <v>0.33819444444444446</v>
      </c>
      <c r="E178" s="35">
        <v>0.44444444444444442</v>
      </c>
      <c r="F178" s="35">
        <v>0.45833333333333331</v>
      </c>
      <c r="G178" s="30">
        <f t="shared" si="43"/>
        <v>1.3888888888888895E-2</v>
      </c>
      <c r="H178" s="30" t="b">
        <f t="shared" si="44"/>
        <v>0</v>
      </c>
      <c r="I178" s="36"/>
      <c r="J178" s="36"/>
      <c r="K178" s="35">
        <f t="shared" si="45"/>
        <v>0</v>
      </c>
      <c r="L178" s="32">
        <v>0.5854166666666667</v>
      </c>
      <c r="M178" s="32">
        <f t="shared" si="46"/>
        <v>0.24722222222222223</v>
      </c>
      <c r="N178" s="23">
        <f t="shared" si="50"/>
        <v>-7.1527777777777801E-2</v>
      </c>
      <c r="O178" s="33">
        <f t="shared" si="47"/>
        <v>3.2638888888888939E-2</v>
      </c>
      <c r="P178" s="67">
        <f>P177+N178</f>
        <v>3.2638888888888939E-2</v>
      </c>
      <c r="Q178" s="72">
        <f t="shared" ref="Q178" si="51">SUM(M174:M178)</f>
        <v>1.6263888888888891</v>
      </c>
      <c r="R178" s="72">
        <f t="shared" ref="R178" si="52">Q178/5</f>
        <v>0.32527777777777783</v>
      </c>
    </row>
    <row r="179" spans="2:18" x14ac:dyDescent="0.25">
      <c r="B179" s="46">
        <v>43996</v>
      </c>
      <c r="C179" s="48" t="s">
        <v>21</v>
      </c>
      <c r="D179" s="43"/>
      <c r="E179" s="43"/>
      <c r="F179" s="43"/>
      <c r="G179" s="34"/>
      <c r="H179" s="34"/>
      <c r="I179" s="28"/>
      <c r="J179" s="28"/>
      <c r="K179" s="43"/>
      <c r="L179" s="27"/>
      <c r="M179" s="27"/>
      <c r="N179" s="44"/>
      <c r="O179" s="26"/>
      <c r="P179" s="65"/>
      <c r="Q179" s="71"/>
      <c r="R179" s="71"/>
    </row>
    <row r="180" spans="2:18" x14ac:dyDescent="0.25">
      <c r="B180" s="46">
        <v>43997</v>
      </c>
      <c r="C180" s="48" t="s">
        <v>22</v>
      </c>
      <c r="D180" s="43"/>
      <c r="E180" s="43"/>
      <c r="F180" s="43"/>
      <c r="G180" s="34"/>
      <c r="H180" s="34"/>
      <c r="I180" s="28"/>
      <c r="J180" s="28"/>
      <c r="K180" s="43"/>
      <c r="L180" s="27"/>
      <c r="M180" s="27"/>
      <c r="N180" s="44"/>
      <c r="O180" s="26"/>
      <c r="P180" s="65"/>
      <c r="Q180" s="71"/>
      <c r="R180" s="71"/>
    </row>
    <row r="181" spans="2:18" x14ac:dyDescent="0.25">
      <c r="B181" s="45">
        <v>43998</v>
      </c>
      <c r="C181" s="47" t="s">
        <v>6</v>
      </c>
      <c r="D181" s="35"/>
      <c r="E181" s="35"/>
      <c r="F181" s="35"/>
      <c r="G181" s="30">
        <f t="shared" si="43"/>
        <v>0</v>
      </c>
      <c r="H181" s="30" t="b">
        <f t="shared" si="44"/>
        <v>0</v>
      </c>
      <c r="I181" s="36"/>
      <c r="J181" s="36"/>
      <c r="K181" s="35">
        <f t="shared" si="45"/>
        <v>0</v>
      </c>
      <c r="L181" s="32"/>
      <c r="M181" s="32">
        <f t="shared" si="46"/>
        <v>0</v>
      </c>
      <c r="N181" s="23">
        <f t="shared" si="50"/>
        <v>-0.31875000000000003</v>
      </c>
      <c r="O181" s="33">
        <f t="shared" si="47"/>
        <v>-0.31875000000000003</v>
      </c>
      <c r="P181" s="67">
        <f>P180+N181</f>
        <v>-0.31875000000000003</v>
      </c>
      <c r="Q181" s="71"/>
      <c r="R181" s="71"/>
    </row>
    <row r="182" spans="2:18" x14ac:dyDescent="0.25">
      <c r="B182" s="45">
        <v>43999</v>
      </c>
      <c r="C182" s="47" t="s">
        <v>7</v>
      </c>
      <c r="D182" s="35"/>
      <c r="E182" s="35"/>
      <c r="F182" s="35"/>
      <c r="G182" s="30">
        <f t="shared" si="43"/>
        <v>0</v>
      </c>
      <c r="H182" s="30" t="b">
        <f t="shared" si="44"/>
        <v>0</v>
      </c>
      <c r="I182" s="36"/>
      <c r="J182" s="36"/>
      <c r="K182" s="35">
        <f t="shared" si="45"/>
        <v>0</v>
      </c>
      <c r="L182" s="32"/>
      <c r="M182" s="32">
        <f t="shared" si="46"/>
        <v>0</v>
      </c>
      <c r="N182" s="23">
        <f>M182-$E$6</f>
        <v>-0.29166666666666669</v>
      </c>
      <c r="O182" s="33">
        <f t="shared" si="47"/>
        <v>-0.61041666666666672</v>
      </c>
      <c r="P182" s="67">
        <f>P181+N182</f>
        <v>-0.61041666666666672</v>
      </c>
      <c r="Q182" s="71"/>
      <c r="R182" s="71"/>
    </row>
    <row r="183" spans="2:18" x14ac:dyDescent="0.25">
      <c r="B183" s="45">
        <v>44000</v>
      </c>
      <c r="C183" s="47" t="s">
        <v>23</v>
      </c>
      <c r="D183" s="35"/>
      <c r="E183" s="35"/>
      <c r="F183" s="35"/>
      <c r="G183" s="30">
        <f t="shared" si="43"/>
        <v>0</v>
      </c>
      <c r="H183" s="30" t="b">
        <f t="shared" si="44"/>
        <v>0</v>
      </c>
      <c r="I183" s="36"/>
      <c r="J183" s="36"/>
      <c r="K183" s="35">
        <f t="shared" si="45"/>
        <v>0</v>
      </c>
      <c r="L183" s="32"/>
      <c r="M183" s="32">
        <f t="shared" si="46"/>
        <v>0</v>
      </c>
      <c r="N183" s="23">
        <f>M183-$E$6</f>
        <v>-0.29166666666666669</v>
      </c>
      <c r="O183" s="33">
        <f t="shared" si="47"/>
        <v>-0.90208333333333335</v>
      </c>
      <c r="P183" s="67">
        <f>P182+N183</f>
        <v>-0.90208333333333335</v>
      </c>
      <c r="Q183" s="71"/>
      <c r="R183" s="71"/>
    </row>
    <row r="184" spans="2:18" x14ac:dyDescent="0.25">
      <c r="B184" s="45">
        <v>44001</v>
      </c>
      <c r="C184" s="47" t="s">
        <v>8</v>
      </c>
      <c r="D184" s="35"/>
      <c r="E184" s="35"/>
      <c r="F184" s="35"/>
      <c r="G184" s="30">
        <f t="shared" si="43"/>
        <v>0</v>
      </c>
      <c r="H184" s="30" t="b">
        <f t="shared" si="44"/>
        <v>0</v>
      </c>
      <c r="I184" s="36"/>
      <c r="J184" s="36"/>
      <c r="K184" s="35">
        <f t="shared" si="45"/>
        <v>0</v>
      </c>
      <c r="L184" s="32"/>
      <c r="M184" s="32">
        <f t="shared" si="46"/>
        <v>0</v>
      </c>
      <c r="N184" s="23">
        <f>M184-$E$6</f>
        <v>-0.29166666666666669</v>
      </c>
      <c r="O184" s="33">
        <f t="shared" si="47"/>
        <v>-1.1937500000000001</v>
      </c>
      <c r="P184" s="67">
        <f>P183+N184</f>
        <v>-1.1937500000000001</v>
      </c>
      <c r="Q184" s="71"/>
      <c r="R184" s="71"/>
    </row>
    <row r="185" spans="2:18" x14ac:dyDescent="0.25">
      <c r="B185" s="45">
        <v>44002</v>
      </c>
      <c r="C185" s="47" t="s">
        <v>9</v>
      </c>
      <c r="D185" s="35"/>
      <c r="E185" s="35"/>
      <c r="F185" s="35"/>
      <c r="G185" s="30">
        <f t="shared" si="43"/>
        <v>0</v>
      </c>
      <c r="H185" s="30" t="b">
        <f t="shared" si="44"/>
        <v>0</v>
      </c>
      <c r="I185" s="36"/>
      <c r="J185" s="36"/>
      <c r="K185" s="35">
        <f t="shared" si="45"/>
        <v>0</v>
      </c>
      <c r="L185" s="32"/>
      <c r="M185" s="32">
        <f t="shared" si="46"/>
        <v>0</v>
      </c>
      <c r="N185" s="23">
        <f>M185-$E$6</f>
        <v>-0.29166666666666669</v>
      </c>
      <c r="O185" s="33">
        <f t="shared" si="47"/>
        <v>-1.4854166666666668</v>
      </c>
      <c r="P185" s="67">
        <f>P184+N185</f>
        <v>-1.4854166666666668</v>
      </c>
      <c r="Q185" s="72">
        <f t="shared" ref="Q185" si="53">SUM(M181:M185)</f>
        <v>0</v>
      </c>
      <c r="R185" s="72">
        <f t="shared" ref="R185" si="54">Q185/5</f>
        <v>0</v>
      </c>
    </row>
    <row r="186" spans="2:18" x14ac:dyDescent="0.25">
      <c r="B186" s="46">
        <v>44003</v>
      </c>
      <c r="C186" s="48" t="s">
        <v>21</v>
      </c>
      <c r="D186" s="43"/>
      <c r="E186" s="43"/>
      <c r="F186" s="43"/>
      <c r="G186" s="34"/>
      <c r="H186" s="34"/>
      <c r="I186" s="28"/>
      <c r="J186" s="28"/>
      <c r="K186" s="43"/>
      <c r="L186" s="27"/>
      <c r="M186" s="27"/>
      <c r="N186" s="44"/>
      <c r="O186" s="26"/>
      <c r="P186" s="65"/>
      <c r="Q186" s="71"/>
      <c r="R186" s="71"/>
    </row>
    <row r="187" spans="2:18" x14ac:dyDescent="0.25">
      <c r="B187" s="46">
        <v>44004</v>
      </c>
      <c r="C187" s="48" t="s">
        <v>22</v>
      </c>
      <c r="D187" s="43"/>
      <c r="E187" s="43"/>
      <c r="F187" s="43"/>
      <c r="G187" s="34"/>
      <c r="H187" s="34"/>
      <c r="I187" s="28"/>
      <c r="J187" s="28"/>
      <c r="K187" s="43"/>
      <c r="L187" s="27"/>
      <c r="M187" s="27"/>
      <c r="N187" s="44"/>
      <c r="O187" s="26"/>
      <c r="P187" s="65"/>
      <c r="Q187" s="71"/>
      <c r="R187" s="71"/>
    </row>
    <row r="188" spans="2:18" x14ac:dyDescent="0.25">
      <c r="B188" s="45">
        <v>44005</v>
      </c>
      <c r="C188" s="47" t="s">
        <v>6</v>
      </c>
      <c r="D188" s="35"/>
      <c r="E188" s="35"/>
      <c r="F188" s="35"/>
      <c r="G188" s="30">
        <f t="shared" si="43"/>
        <v>0</v>
      </c>
      <c r="H188" s="30" t="b">
        <f t="shared" si="44"/>
        <v>0</v>
      </c>
      <c r="I188" s="36"/>
      <c r="J188" s="36"/>
      <c r="K188" s="35">
        <f t="shared" si="45"/>
        <v>0</v>
      </c>
      <c r="L188" s="32"/>
      <c r="M188" s="32">
        <f t="shared" si="46"/>
        <v>0</v>
      </c>
      <c r="N188" s="23">
        <f>M188-$E$6</f>
        <v>-0.29166666666666669</v>
      </c>
      <c r="O188" s="33">
        <f t="shared" si="47"/>
        <v>-0.29166666666666669</v>
      </c>
      <c r="P188" s="67">
        <f>P187+N188</f>
        <v>-0.29166666666666669</v>
      </c>
      <c r="Q188" s="71"/>
      <c r="R188" s="71"/>
    </row>
    <row r="189" spans="2:18" x14ac:dyDescent="0.25">
      <c r="B189" s="45">
        <v>44006</v>
      </c>
      <c r="C189" s="47" t="s">
        <v>7</v>
      </c>
      <c r="D189" s="35">
        <v>0.31597222222222221</v>
      </c>
      <c r="E189" s="35">
        <v>0.44166666666666665</v>
      </c>
      <c r="F189" s="35">
        <v>0.45833333333333331</v>
      </c>
      <c r="G189" s="30">
        <f t="shared" si="43"/>
        <v>1.6666666666666663E-2</v>
      </c>
      <c r="H189" s="30">
        <f t="shared" si="44"/>
        <v>2.7777777777777748E-3</v>
      </c>
      <c r="I189" s="36"/>
      <c r="J189" s="36"/>
      <c r="K189" s="35">
        <f t="shared" si="45"/>
        <v>0</v>
      </c>
      <c r="L189" s="32">
        <v>0.62638888888888888</v>
      </c>
      <c r="M189" s="32">
        <f t="shared" si="46"/>
        <v>0.30763888888888891</v>
      </c>
      <c r="N189" s="23">
        <f>M189-$E$6</f>
        <v>1.5972222222222221E-2</v>
      </c>
      <c r="O189" s="33">
        <f t="shared" si="47"/>
        <v>-0.27569444444444446</v>
      </c>
      <c r="P189" s="67">
        <f>P188+N189</f>
        <v>-0.27569444444444446</v>
      </c>
      <c r="Q189" s="71"/>
      <c r="R189" s="71"/>
    </row>
    <row r="190" spans="2:18" x14ac:dyDescent="0.25">
      <c r="B190" s="45">
        <v>44007</v>
      </c>
      <c r="C190" s="47" t="s">
        <v>23</v>
      </c>
      <c r="D190" s="35">
        <v>0.3298611111111111</v>
      </c>
      <c r="E190" s="35">
        <v>0.4381944444444445</v>
      </c>
      <c r="F190" s="35">
        <v>0.45347222222222222</v>
      </c>
      <c r="G190" s="30">
        <f t="shared" si="43"/>
        <v>1.5277777777777724E-2</v>
      </c>
      <c r="H190" s="30">
        <f t="shared" si="44"/>
        <v>1.3888888888888354E-3</v>
      </c>
      <c r="I190" s="36"/>
      <c r="J190" s="36"/>
      <c r="K190" s="35">
        <f t="shared" si="45"/>
        <v>0</v>
      </c>
      <c r="L190" s="32">
        <v>0.62777777777777777</v>
      </c>
      <c r="M190" s="32">
        <f t="shared" si="46"/>
        <v>0.29652777777777783</v>
      </c>
      <c r="N190" s="23">
        <f>M190-$E$6</f>
        <v>4.8611111111111494E-3</v>
      </c>
      <c r="O190" s="33">
        <f t="shared" si="47"/>
        <v>-0.27083333333333331</v>
      </c>
      <c r="P190" s="67">
        <f>P189+N190</f>
        <v>-0.27083333333333331</v>
      </c>
      <c r="Q190" s="71"/>
      <c r="R190" s="71"/>
    </row>
    <row r="191" spans="2:18" x14ac:dyDescent="0.25">
      <c r="B191" s="45">
        <v>44008</v>
      </c>
      <c r="C191" s="47" t="s">
        <v>8</v>
      </c>
      <c r="D191" s="35">
        <v>0.3215277777777778</v>
      </c>
      <c r="E191" s="35">
        <v>0.4375</v>
      </c>
      <c r="F191" s="35">
        <v>0.4548611111111111</v>
      </c>
      <c r="G191" s="30">
        <f t="shared" si="43"/>
        <v>1.7361111111111105E-2</v>
      </c>
      <c r="H191" s="30">
        <f t="shared" si="44"/>
        <v>3.4722222222222168E-3</v>
      </c>
      <c r="I191" s="36"/>
      <c r="J191" s="36"/>
      <c r="K191" s="35">
        <f t="shared" si="45"/>
        <v>0</v>
      </c>
      <c r="L191" s="32">
        <v>0.62569444444444444</v>
      </c>
      <c r="M191" s="32">
        <f t="shared" si="46"/>
        <v>0.30069444444444443</v>
      </c>
      <c r="N191" s="23">
        <f>M191-$E$6</f>
        <v>9.0277777777777457E-3</v>
      </c>
      <c r="O191" s="33">
        <f t="shared" si="47"/>
        <v>-0.26180555555555557</v>
      </c>
      <c r="P191" s="67">
        <f>P190+N191</f>
        <v>-0.26180555555555557</v>
      </c>
      <c r="Q191" s="71"/>
      <c r="R191" s="71"/>
    </row>
    <row r="192" spans="2:18" x14ac:dyDescent="0.25">
      <c r="B192" s="45">
        <v>44009</v>
      </c>
      <c r="C192" s="47" t="s">
        <v>9</v>
      </c>
      <c r="D192" s="35">
        <v>0.32777777777777778</v>
      </c>
      <c r="E192" s="35">
        <v>0.44097222222222227</v>
      </c>
      <c r="F192" s="35">
        <v>0.45624999999999999</v>
      </c>
      <c r="G192" s="30">
        <f t="shared" si="43"/>
        <v>1.5277777777777724E-2</v>
      </c>
      <c r="H192" s="30">
        <f t="shared" si="44"/>
        <v>1.3888888888888354E-3</v>
      </c>
      <c r="I192" s="36"/>
      <c r="J192" s="36"/>
      <c r="K192" s="35">
        <f t="shared" si="45"/>
        <v>0</v>
      </c>
      <c r="L192" s="32">
        <v>0.62638888888888888</v>
      </c>
      <c r="M192" s="32">
        <f t="shared" si="46"/>
        <v>0.29722222222222228</v>
      </c>
      <c r="N192" s="23">
        <f>M192-$E$6</f>
        <v>5.5555555555555913E-3</v>
      </c>
      <c r="O192" s="33">
        <f t="shared" si="47"/>
        <v>-0.25624999999999998</v>
      </c>
      <c r="P192" s="67">
        <f>P191+N192</f>
        <v>-0.25624999999999998</v>
      </c>
      <c r="Q192" s="72">
        <f t="shared" ref="Q192" si="55">SUM(M188:M192)</f>
        <v>1.2020833333333334</v>
      </c>
      <c r="R192" s="72">
        <f t="shared" ref="R192" si="56">Q192/5</f>
        <v>0.24041666666666667</v>
      </c>
    </row>
    <row r="193" spans="2:18" x14ac:dyDescent="0.25">
      <c r="B193" s="46">
        <v>44010</v>
      </c>
      <c r="C193" s="48" t="s">
        <v>21</v>
      </c>
      <c r="D193" s="43"/>
      <c r="E193" s="43"/>
      <c r="F193" s="43"/>
      <c r="G193" s="34"/>
      <c r="H193" s="34"/>
      <c r="I193" s="28"/>
      <c r="J193" s="28"/>
      <c r="K193" s="43"/>
      <c r="L193" s="27"/>
      <c r="M193" s="27"/>
      <c r="N193" s="44"/>
      <c r="O193" s="26"/>
      <c r="P193" s="65"/>
      <c r="Q193" s="71"/>
      <c r="R193" s="71"/>
    </row>
    <row r="194" spans="2:18" x14ac:dyDescent="0.25">
      <c r="B194" s="46">
        <v>44011</v>
      </c>
      <c r="C194" s="48" t="s">
        <v>22</v>
      </c>
      <c r="D194" s="43"/>
      <c r="E194" s="43"/>
      <c r="F194" s="43"/>
      <c r="G194" s="34"/>
      <c r="H194" s="34"/>
      <c r="I194" s="28"/>
      <c r="J194" s="28"/>
      <c r="K194" s="43"/>
      <c r="L194" s="27"/>
      <c r="M194" s="27"/>
      <c r="N194" s="44"/>
      <c r="O194" s="26"/>
      <c r="P194" s="65"/>
      <c r="Q194" s="71"/>
      <c r="R194" s="71"/>
    </row>
    <row r="195" spans="2:18" x14ac:dyDescent="0.25">
      <c r="B195" s="45">
        <v>44012</v>
      </c>
      <c r="C195" s="47" t="s">
        <v>6</v>
      </c>
      <c r="D195" s="35">
        <v>0.32361111111111113</v>
      </c>
      <c r="E195" s="35">
        <v>0.44861111111111113</v>
      </c>
      <c r="F195" s="35">
        <v>0.46597222222222223</v>
      </c>
      <c r="G195" s="30">
        <f t="shared" ref="G195:G220" si="57">F195-E195</f>
        <v>1.7361111111111105E-2</v>
      </c>
      <c r="H195" s="30">
        <f t="shared" ref="H195:H220" si="58">IF(G195&gt;$I$6,G195-$I$6)</f>
        <v>3.4722222222222168E-3</v>
      </c>
      <c r="I195" s="36"/>
      <c r="J195" s="36"/>
      <c r="K195" s="35">
        <f t="shared" ref="K195:K220" si="59">J195-I195</f>
        <v>0</v>
      </c>
      <c r="L195" s="32">
        <v>0.62638888888888888</v>
      </c>
      <c r="M195" s="32">
        <f t="shared" ref="M195:M220" si="60">(L195-D195)-H195-K195</f>
        <v>0.29930555555555555</v>
      </c>
      <c r="N195" s="23">
        <f>M195-$E$6</f>
        <v>7.6388888888888618E-3</v>
      </c>
      <c r="O195" s="33">
        <f>O194+N195</f>
        <v>7.6388888888888618E-3</v>
      </c>
      <c r="P195" s="67">
        <f>P194+N195</f>
        <v>7.6388888888888618E-3</v>
      </c>
      <c r="Q195" s="71"/>
      <c r="R195" s="71"/>
    </row>
    <row r="196" spans="2:18" x14ac:dyDescent="0.25">
      <c r="B196" s="45">
        <v>44013</v>
      </c>
      <c r="C196" s="47" t="s">
        <v>7</v>
      </c>
      <c r="D196" s="35">
        <v>0.3263888888888889</v>
      </c>
      <c r="E196" s="35">
        <v>0.4458333333333333</v>
      </c>
      <c r="F196" s="35">
        <v>0.46319444444444446</v>
      </c>
      <c r="G196" s="30">
        <f t="shared" si="57"/>
        <v>1.736111111111116E-2</v>
      </c>
      <c r="H196" s="30">
        <f t="shared" si="58"/>
        <v>3.4722222222222723E-3</v>
      </c>
      <c r="I196" s="36"/>
      <c r="J196" s="36"/>
      <c r="K196" s="35">
        <f t="shared" si="59"/>
        <v>0</v>
      </c>
      <c r="L196" s="32">
        <v>0.625</v>
      </c>
      <c r="M196" s="32">
        <f t="shared" si="60"/>
        <v>0.29513888888888884</v>
      </c>
      <c r="N196" s="23">
        <f>M196-$E$6</f>
        <v>3.4722222222221544E-3</v>
      </c>
      <c r="O196" s="33">
        <f t="shared" ref="O196:O220" si="61">O195+N196</f>
        <v>1.1111111111111016E-2</v>
      </c>
      <c r="P196" s="67">
        <f>P195+N196</f>
        <v>1.1111111111111016E-2</v>
      </c>
      <c r="Q196" s="71"/>
      <c r="R196" s="71"/>
    </row>
    <row r="197" spans="2:18" x14ac:dyDescent="0.25">
      <c r="B197" s="45">
        <v>44014</v>
      </c>
      <c r="C197" s="47" t="s">
        <v>23</v>
      </c>
      <c r="D197" s="35">
        <v>0.34375</v>
      </c>
      <c r="E197" s="35">
        <v>0.44166666666666665</v>
      </c>
      <c r="F197" s="35">
        <v>0.45694444444444443</v>
      </c>
      <c r="G197" s="30">
        <f t="shared" si="57"/>
        <v>1.5277777777777779E-2</v>
      </c>
      <c r="H197" s="30">
        <f t="shared" si="58"/>
        <v>1.3888888888888909E-3</v>
      </c>
      <c r="I197" s="36"/>
      <c r="J197" s="36"/>
      <c r="K197" s="35">
        <f t="shared" si="59"/>
        <v>0</v>
      </c>
      <c r="L197" s="32">
        <v>0.62638888888888888</v>
      </c>
      <c r="M197" s="32">
        <f t="shared" si="60"/>
        <v>0.28125</v>
      </c>
      <c r="N197" s="23">
        <f>M197-$E$6</f>
        <v>-1.0416666666666685E-2</v>
      </c>
      <c r="O197" s="33">
        <f t="shared" si="61"/>
        <v>6.9444444444433095E-4</v>
      </c>
      <c r="P197" s="67">
        <f>P196+N197</f>
        <v>6.9444444444433095E-4</v>
      </c>
      <c r="Q197" s="71"/>
      <c r="R197" s="71"/>
    </row>
    <row r="198" spans="2:18" x14ac:dyDescent="0.25">
      <c r="B198" s="45">
        <v>44015</v>
      </c>
      <c r="C198" s="47" t="s">
        <v>8</v>
      </c>
      <c r="D198" s="35">
        <v>0.32847222222222222</v>
      </c>
      <c r="E198" s="35">
        <v>0.44930555555555557</v>
      </c>
      <c r="F198" s="35">
        <v>0.46666666666666662</v>
      </c>
      <c r="G198" s="30">
        <f t="shared" si="57"/>
        <v>1.7361111111111049E-2</v>
      </c>
      <c r="H198" s="30">
        <f t="shared" si="58"/>
        <v>3.4722222222221613E-3</v>
      </c>
      <c r="I198" s="36"/>
      <c r="J198" s="36"/>
      <c r="K198" s="35">
        <f t="shared" si="59"/>
        <v>0</v>
      </c>
      <c r="L198" s="32">
        <v>0.62638888888888888</v>
      </c>
      <c r="M198" s="32">
        <f t="shared" si="60"/>
        <v>0.29444444444444451</v>
      </c>
      <c r="N198" s="23">
        <f>M198-$E$6</f>
        <v>2.7777777777778234E-3</v>
      </c>
      <c r="O198" s="33">
        <f t="shared" si="61"/>
        <v>3.4722222222221544E-3</v>
      </c>
      <c r="P198" s="67">
        <f>P197+N198</f>
        <v>3.4722222222221544E-3</v>
      </c>
      <c r="Q198" s="71"/>
      <c r="R198" s="71"/>
    </row>
    <row r="199" spans="2:18" x14ac:dyDescent="0.25">
      <c r="B199" s="45">
        <v>44016</v>
      </c>
      <c r="C199" s="47" t="s">
        <v>9</v>
      </c>
      <c r="D199" s="35">
        <v>0.3444444444444445</v>
      </c>
      <c r="E199" s="35">
        <v>0.48958333333333331</v>
      </c>
      <c r="F199" s="35">
        <v>0.50486111111111109</v>
      </c>
      <c r="G199" s="30">
        <f t="shared" si="57"/>
        <v>1.5277777777777779E-2</v>
      </c>
      <c r="H199" s="30">
        <f t="shared" si="58"/>
        <v>1.3888888888888909E-3</v>
      </c>
      <c r="I199" s="36"/>
      <c r="J199" s="36"/>
      <c r="K199" s="35">
        <f t="shared" si="59"/>
        <v>0</v>
      </c>
      <c r="L199" s="32">
        <v>0.62569444444444444</v>
      </c>
      <c r="M199" s="32">
        <f t="shared" si="60"/>
        <v>0.27986111111111106</v>
      </c>
      <c r="N199" s="23">
        <f>M199-$E$6</f>
        <v>-1.1805555555555625E-2</v>
      </c>
      <c r="O199" s="33">
        <f t="shared" si="61"/>
        <v>-8.3333333333334703E-3</v>
      </c>
      <c r="P199" s="67">
        <f>P198+N199</f>
        <v>-8.3333333333334703E-3</v>
      </c>
      <c r="Q199" s="72">
        <f t="shared" ref="Q199" si="62">SUM(M195:M199)</f>
        <v>1.45</v>
      </c>
      <c r="R199" s="72">
        <f t="shared" ref="R199" si="63">Q199/5</f>
        <v>0.28999999999999998</v>
      </c>
    </row>
    <row r="200" spans="2:18" x14ac:dyDescent="0.25">
      <c r="B200" s="46">
        <v>44017</v>
      </c>
      <c r="C200" s="48" t="s">
        <v>21</v>
      </c>
      <c r="D200" s="43"/>
      <c r="E200" s="43"/>
      <c r="F200" s="43"/>
      <c r="G200" s="34"/>
      <c r="H200" s="34"/>
      <c r="I200" s="28"/>
      <c r="J200" s="28"/>
      <c r="K200" s="43"/>
      <c r="L200" s="27"/>
      <c r="M200" s="27"/>
      <c r="N200" s="44"/>
      <c r="O200" s="26"/>
      <c r="P200" s="65"/>
      <c r="Q200" s="71"/>
      <c r="R200" s="71"/>
    </row>
    <row r="201" spans="2:18" x14ac:dyDescent="0.25">
      <c r="B201" s="46">
        <v>44018</v>
      </c>
      <c r="C201" s="48" t="s">
        <v>22</v>
      </c>
      <c r="D201" s="43"/>
      <c r="E201" s="43"/>
      <c r="F201" s="43"/>
      <c r="G201" s="34"/>
      <c r="H201" s="34"/>
      <c r="I201" s="28"/>
      <c r="J201" s="28"/>
      <c r="K201" s="43"/>
      <c r="L201" s="27"/>
      <c r="M201" s="27"/>
      <c r="N201" s="44"/>
      <c r="O201" s="26"/>
      <c r="P201" s="65"/>
      <c r="Q201" s="71"/>
      <c r="R201" s="71"/>
    </row>
    <row r="202" spans="2:18" x14ac:dyDescent="0.25">
      <c r="B202" s="45">
        <v>44019</v>
      </c>
      <c r="C202" s="47" t="s">
        <v>6</v>
      </c>
      <c r="D202" s="35">
        <v>0.32361111111111113</v>
      </c>
      <c r="E202" s="35">
        <v>0.44861111111111113</v>
      </c>
      <c r="F202" s="35">
        <v>0.46458333333333335</v>
      </c>
      <c r="G202" s="30">
        <f t="shared" si="57"/>
        <v>1.5972222222222221E-2</v>
      </c>
      <c r="H202" s="30">
        <f t="shared" si="58"/>
        <v>2.0833333333333329E-3</v>
      </c>
      <c r="I202" s="36"/>
      <c r="J202" s="36"/>
      <c r="K202" s="35">
        <f t="shared" si="59"/>
        <v>0</v>
      </c>
      <c r="L202" s="32">
        <v>0.62708333333333333</v>
      </c>
      <c r="M202" s="32">
        <f t="shared" si="60"/>
        <v>0.30138888888888887</v>
      </c>
      <c r="N202" s="23">
        <f>M202-$E$6</f>
        <v>9.7222222222221877E-3</v>
      </c>
      <c r="O202" s="33">
        <f t="shared" si="61"/>
        <v>9.7222222222221877E-3</v>
      </c>
      <c r="P202" s="67">
        <f>P201+N202</f>
        <v>9.7222222222221877E-3</v>
      </c>
      <c r="Q202" s="71"/>
      <c r="R202" s="71"/>
    </row>
    <row r="203" spans="2:18" x14ac:dyDescent="0.25">
      <c r="B203" s="45">
        <v>44020</v>
      </c>
      <c r="C203" s="47" t="s">
        <v>7</v>
      </c>
      <c r="D203" s="35">
        <v>0.33749999999999997</v>
      </c>
      <c r="E203" s="35">
        <v>0.44791666666666669</v>
      </c>
      <c r="F203" s="35">
        <v>0.4770833333333333</v>
      </c>
      <c r="G203" s="30">
        <f t="shared" si="57"/>
        <v>2.9166666666666619E-2</v>
      </c>
      <c r="H203" s="30">
        <f t="shared" si="58"/>
        <v>1.527777777777773E-2</v>
      </c>
      <c r="I203" s="36"/>
      <c r="J203" s="36"/>
      <c r="K203" s="35">
        <f t="shared" si="59"/>
        <v>0</v>
      </c>
      <c r="L203" s="32">
        <v>0.62847222222222221</v>
      </c>
      <c r="M203" s="32">
        <f t="shared" si="60"/>
        <v>0.27569444444444452</v>
      </c>
      <c r="N203" s="23">
        <f>M203-$E$6</f>
        <v>-1.5972222222222165E-2</v>
      </c>
      <c r="O203" s="33">
        <f t="shared" si="61"/>
        <v>-6.2499999999999778E-3</v>
      </c>
      <c r="P203" s="67">
        <f>P202+N203</f>
        <v>-6.2499999999999778E-3</v>
      </c>
      <c r="Q203" s="71"/>
      <c r="R203" s="71"/>
    </row>
    <row r="204" spans="2:18" x14ac:dyDescent="0.25">
      <c r="B204" s="45">
        <v>44021</v>
      </c>
      <c r="C204" s="47" t="s">
        <v>23</v>
      </c>
      <c r="D204" s="35">
        <v>0.31875000000000003</v>
      </c>
      <c r="E204" s="35">
        <v>0.44097222222222227</v>
      </c>
      <c r="F204" s="35">
        <v>0.45624999999999999</v>
      </c>
      <c r="G204" s="30">
        <f t="shared" si="57"/>
        <v>1.5277777777777724E-2</v>
      </c>
      <c r="H204" s="30">
        <f t="shared" si="58"/>
        <v>1.3888888888888354E-3</v>
      </c>
      <c r="I204" s="36"/>
      <c r="J204" s="36"/>
      <c r="K204" s="35">
        <f t="shared" si="59"/>
        <v>0</v>
      </c>
      <c r="L204" s="32">
        <v>0.62708333333333333</v>
      </c>
      <c r="M204" s="32">
        <f t="shared" si="60"/>
        <v>0.30694444444444446</v>
      </c>
      <c r="N204" s="23">
        <f>M204-$E$6</f>
        <v>1.5277777777777779E-2</v>
      </c>
      <c r="O204" s="33">
        <f t="shared" si="61"/>
        <v>9.0277777777778012E-3</v>
      </c>
      <c r="P204" s="67">
        <f>P203+N204</f>
        <v>9.0277777777778012E-3</v>
      </c>
      <c r="Q204" s="71"/>
      <c r="R204" s="71"/>
    </row>
    <row r="205" spans="2:18" x14ac:dyDescent="0.25">
      <c r="B205" s="45">
        <v>44022</v>
      </c>
      <c r="C205" s="47" t="s">
        <v>8</v>
      </c>
      <c r="D205" s="35">
        <v>0.32847222222222222</v>
      </c>
      <c r="E205" s="35">
        <v>0.46249999999999997</v>
      </c>
      <c r="F205" s="35">
        <v>0.47847222222222219</v>
      </c>
      <c r="G205" s="30">
        <f t="shared" si="57"/>
        <v>1.5972222222222221E-2</v>
      </c>
      <c r="H205" s="30">
        <f t="shared" si="58"/>
        <v>2.0833333333333329E-3</v>
      </c>
      <c r="I205" s="36"/>
      <c r="J205" s="36"/>
      <c r="K205" s="35">
        <f t="shared" si="59"/>
        <v>0</v>
      </c>
      <c r="L205" s="32">
        <v>0.62638888888888888</v>
      </c>
      <c r="M205" s="32">
        <f t="shared" si="60"/>
        <v>0.29583333333333334</v>
      </c>
      <c r="N205" s="23">
        <f>M205-$E$6</f>
        <v>4.1666666666666519E-3</v>
      </c>
      <c r="O205" s="33">
        <f t="shared" si="61"/>
        <v>1.3194444444444453E-2</v>
      </c>
      <c r="P205" s="67">
        <f>P204+N205</f>
        <v>1.3194444444444453E-2</v>
      </c>
      <c r="Q205" s="71"/>
      <c r="R205" s="71"/>
    </row>
    <row r="206" spans="2:18" x14ac:dyDescent="0.25">
      <c r="B206" s="45">
        <v>44023</v>
      </c>
      <c r="C206" s="47" t="s">
        <v>9</v>
      </c>
      <c r="D206" s="35">
        <v>0.32291666666666669</v>
      </c>
      <c r="E206" s="35">
        <v>0.4375</v>
      </c>
      <c r="F206" s="35">
        <v>0.4548611111111111</v>
      </c>
      <c r="G206" s="30">
        <f t="shared" si="57"/>
        <v>1.7361111111111105E-2</v>
      </c>
      <c r="H206" s="30">
        <f t="shared" si="58"/>
        <v>3.4722222222222168E-3</v>
      </c>
      <c r="I206" s="36"/>
      <c r="J206" s="36"/>
      <c r="K206" s="35">
        <f t="shared" si="59"/>
        <v>0</v>
      </c>
      <c r="L206" s="32">
        <v>0.62638888888888888</v>
      </c>
      <c r="M206" s="32">
        <f t="shared" si="60"/>
        <v>0.3</v>
      </c>
      <c r="N206" s="23">
        <f>M206-$E$6</f>
        <v>8.3333333333333037E-3</v>
      </c>
      <c r="O206" s="33">
        <f t="shared" si="61"/>
        <v>2.1527777777777757E-2</v>
      </c>
      <c r="P206" s="67">
        <f>P205+N206</f>
        <v>2.1527777777777757E-2</v>
      </c>
      <c r="Q206" s="72">
        <f t="shared" ref="Q206" si="64">SUM(M202:M206)</f>
        <v>1.4798611111111113</v>
      </c>
      <c r="R206" s="72">
        <f t="shared" ref="R206" si="65">Q206/5</f>
        <v>0.29597222222222225</v>
      </c>
    </row>
    <row r="207" spans="2:18" x14ac:dyDescent="0.25">
      <c r="B207" s="46">
        <v>44024</v>
      </c>
      <c r="C207" s="48" t="s">
        <v>21</v>
      </c>
      <c r="D207" s="43"/>
      <c r="E207" s="43"/>
      <c r="F207" s="43"/>
      <c r="G207" s="34"/>
      <c r="H207" s="34"/>
      <c r="I207" s="28"/>
      <c r="J207" s="28"/>
      <c r="K207" s="43"/>
      <c r="L207" s="27"/>
      <c r="M207" s="27"/>
      <c r="N207" s="44"/>
      <c r="O207" s="26"/>
      <c r="P207" s="65"/>
      <c r="Q207" s="71"/>
      <c r="R207" s="71"/>
    </row>
    <row r="208" spans="2:18" x14ac:dyDescent="0.25">
      <c r="B208" s="46">
        <v>44025</v>
      </c>
      <c r="C208" s="48" t="s">
        <v>22</v>
      </c>
      <c r="D208" s="43"/>
      <c r="E208" s="43"/>
      <c r="F208" s="43"/>
      <c r="G208" s="34"/>
      <c r="H208" s="34"/>
      <c r="I208" s="28"/>
      <c r="J208" s="28"/>
      <c r="K208" s="43"/>
      <c r="L208" s="27"/>
      <c r="M208" s="27"/>
      <c r="N208" s="44"/>
      <c r="O208" s="26"/>
      <c r="P208" s="65"/>
      <c r="Q208" s="71"/>
      <c r="R208" s="71"/>
    </row>
    <row r="209" spans="2:18" x14ac:dyDescent="0.25">
      <c r="B209" s="45">
        <v>44026</v>
      </c>
      <c r="C209" s="47" t="s">
        <v>6</v>
      </c>
      <c r="D209" s="35">
        <v>0.33055555555555555</v>
      </c>
      <c r="E209" s="35">
        <v>0.43611111111111112</v>
      </c>
      <c r="F209" s="35">
        <v>0.45069444444444445</v>
      </c>
      <c r="G209" s="30">
        <f t="shared" si="57"/>
        <v>1.4583333333333337E-2</v>
      </c>
      <c r="H209" s="30">
        <f t="shared" si="58"/>
        <v>6.9444444444444892E-4</v>
      </c>
      <c r="I209" s="36"/>
      <c r="J209" s="36"/>
      <c r="K209" s="35">
        <f t="shared" si="59"/>
        <v>0</v>
      </c>
      <c r="L209" s="32">
        <v>0.62708333333333333</v>
      </c>
      <c r="M209" s="32">
        <f t="shared" si="60"/>
        <v>0.29583333333333334</v>
      </c>
      <c r="N209" s="23">
        <f>M209-$E$6</f>
        <v>4.1666666666666519E-3</v>
      </c>
      <c r="O209" s="33">
        <f t="shared" si="61"/>
        <v>4.1666666666666519E-3</v>
      </c>
      <c r="P209" s="67">
        <f>P208+N209</f>
        <v>4.1666666666666519E-3</v>
      </c>
      <c r="Q209" s="71"/>
      <c r="R209" s="71"/>
    </row>
    <row r="210" spans="2:18" x14ac:dyDescent="0.25">
      <c r="B210" s="45">
        <v>44027</v>
      </c>
      <c r="C210" s="47" t="s">
        <v>7</v>
      </c>
      <c r="D210" s="35">
        <v>0.32291666666666669</v>
      </c>
      <c r="E210" s="35">
        <v>0.4381944444444445</v>
      </c>
      <c r="F210" s="35">
        <v>0.45416666666666666</v>
      </c>
      <c r="G210" s="30">
        <f t="shared" si="57"/>
        <v>1.5972222222222165E-2</v>
      </c>
      <c r="H210" s="30">
        <f t="shared" si="58"/>
        <v>2.0833333333332774E-3</v>
      </c>
      <c r="I210" s="36"/>
      <c r="J210" s="36"/>
      <c r="K210" s="35">
        <f t="shared" si="59"/>
        <v>0</v>
      </c>
      <c r="L210" s="32">
        <v>0.62986111111111109</v>
      </c>
      <c r="M210" s="32">
        <f t="shared" si="60"/>
        <v>0.30486111111111114</v>
      </c>
      <c r="N210" s="23">
        <f>M210-$E$6</f>
        <v>1.3194444444444453E-2</v>
      </c>
      <c r="O210" s="33">
        <f t="shared" si="61"/>
        <v>1.7361111111111105E-2</v>
      </c>
      <c r="P210" s="67">
        <f>P209+N210</f>
        <v>1.7361111111111105E-2</v>
      </c>
      <c r="Q210" s="71"/>
      <c r="R210" s="71"/>
    </row>
    <row r="211" spans="2:18" x14ac:dyDescent="0.25">
      <c r="B211" s="45">
        <v>44028</v>
      </c>
      <c r="C211" s="47" t="s">
        <v>23</v>
      </c>
      <c r="D211" s="35">
        <v>0.32291666666666669</v>
      </c>
      <c r="E211" s="35">
        <v>0.47847222222222219</v>
      </c>
      <c r="F211" s="35">
        <v>0.4916666666666667</v>
      </c>
      <c r="G211" s="30">
        <f t="shared" si="57"/>
        <v>1.3194444444444509E-2</v>
      </c>
      <c r="H211" s="30" t="b">
        <f t="shared" si="58"/>
        <v>0</v>
      </c>
      <c r="I211" s="36"/>
      <c r="J211" s="36"/>
      <c r="K211" s="35">
        <f t="shared" si="59"/>
        <v>0</v>
      </c>
      <c r="L211" s="32">
        <v>0.62777777777777777</v>
      </c>
      <c r="M211" s="32">
        <f t="shared" si="60"/>
        <v>0.30486111111111108</v>
      </c>
      <c r="N211" s="23">
        <f>M211-$E$6</f>
        <v>1.3194444444444398E-2</v>
      </c>
      <c r="O211" s="33">
        <f t="shared" si="61"/>
        <v>3.0555555555555503E-2</v>
      </c>
      <c r="P211" s="67">
        <f>P210+N211</f>
        <v>3.0555555555555503E-2</v>
      </c>
      <c r="Q211" s="71"/>
      <c r="R211" s="71"/>
    </row>
    <row r="212" spans="2:18" x14ac:dyDescent="0.25">
      <c r="B212" s="45">
        <v>44029</v>
      </c>
      <c r="C212" s="47" t="s">
        <v>8</v>
      </c>
      <c r="D212" s="35">
        <v>0.32500000000000001</v>
      </c>
      <c r="E212" s="35">
        <v>0.4465277777777778</v>
      </c>
      <c r="F212" s="35">
        <v>0.46111111111111108</v>
      </c>
      <c r="G212" s="30">
        <f t="shared" si="57"/>
        <v>1.4583333333333282E-2</v>
      </c>
      <c r="H212" s="30">
        <f t="shared" si="58"/>
        <v>6.9444444444439341E-4</v>
      </c>
      <c r="I212" s="36"/>
      <c r="J212" s="36"/>
      <c r="K212" s="35">
        <f t="shared" si="59"/>
        <v>0</v>
      </c>
      <c r="L212" s="32">
        <v>0.62847222222222221</v>
      </c>
      <c r="M212" s="32">
        <f t="shared" si="60"/>
        <v>0.30277777777777781</v>
      </c>
      <c r="N212" s="23">
        <f>M212-$E$6</f>
        <v>1.1111111111111127E-2</v>
      </c>
      <c r="O212" s="33">
        <f t="shared" si="61"/>
        <v>4.166666666666663E-2</v>
      </c>
      <c r="P212" s="67">
        <f>P211+N212</f>
        <v>4.166666666666663E-2</v>
      </c>
      <c r="Q212" s="71"/>
      <c r="R212" s="71"/>
    </row>
    <row r="213" spans="2:18" x14ac:dyDescent="0.25">
      <c r="B213" s="45">
        <v>44030</v>
      </c>
      <c r="C213" s="47" t="s">
        <v>9</v>
      </c>
      <c r="D213" s="35">
        <v>0.32083333333333336</v>
      </c>
      <c r="E213" s="35">
        <v>0.44097222222222227</v>
      </c>
      <c r="F213" s="35">
        <v>0.4548611111111111</v>
      </c>
      <c r="G213" s="30">
        <f t="shared" si="57"/>
        <v>1.388888888888884E-2</v>
      </c>
      <c r="H213" s="30" t="b">
        <f t="shared" si="58"/>
        <v>0</v>
      </c>
      <c r="I213" s="36"/>
      <c r="J213" s="36"/>
      <c r="K213" s="35">
        <f t="shared" si="59"/>
        <v>0</v>
      </c>
      <c r="L213" s="32">
        <v>0.62847222222222221</v>
      </c>
      <c r="M213" s="32">
        <f t="shared" si="60"/>
        <v>0.30763888888888885</v>
      </c>
      <c r="N213" s="23">
        <f>M213-$E$6</f>
        <v>1.5972222222222165E-2</v>
      </c>
      <c r="O213" s="33">
        <f t="shared" si="61"/>
        <v>5.7638888888888795E-2</v>
      </c>
      <c r="P213" s="67">
        <f>P212+N213</f>
        <v>5.7638888888888795E-2</v>
      </c>
      <c r="Q213" s="72">
        <f t="shared" ref="Q213" si="66">SUM(M209:M213)</f>
        <v>1.5159722222222221</v>
      </c>
      <c r="R213" s="72">
        <f t="shared" ref="R213" si="67">Q213/5</f>
        <v>0.30319444444444443</v>
      </c>
    </row>
    <row r="214" spans="2:18" x14ac:dyDescent="0.25">
      <c r="B214" s="46">
        <v>44031</v>
      </c>
      <c r="C214" s="48" t="s">
        <v>21</v>
      </c>
      <c r="D214" s="43"/>
      <c r="E214" s="43"/>
      <c r="F214" s="43"/>
      <c r="G214" s="34"/>
      <c r="H214" s="34"/>
      <c r="I214" s="28"/>
      <c r="J214" s="28"/>
      <c r="K214" s="43"/>
      <c r="L214" s="27"/>
      <c r="M214" s="27"/>
      <c r="N214" s="44"/>
      <c r="O214" s="26"/>
      <c r="P214" s="65"/>
      <c r="Q214" s="71"/>
      <c r="R214" s="71"/>
    </row>
    <row r="215" spans="2:18" x14ac:dyDescent="0.25">
      <c r="B215" s="46">
        <v>44032</v>
      </c>
      <c r="C215" s="48" t="s">
        <v>22</v>
      </c>
      <c r="D215" s="43"/>
      <c r="E215" s="43"/>
      <c r="F215" s="43"/>
      <c r="G215" s="34"/>
      <c r="H215" s="34"/>
      <c r="I215" s="28"/>
      <c r="J215" s="28"/>
      <c r="K215" s="43"/>
      <c r="L215" s="27"/>
      <c r="M215" s="27"/>
      <c r="N215" s="44"/>
      <c r="O215" s="26"/>
      <c r="P215" s="65"/>
      <c r="Q215" s="71"/>
      <c r="R215" s="71"/>
    </row>
    <row r="216" spans="2:18" x14ac:dyDescent="0.25">
      <c r="B216" s="45">
        <v>44033</v>
      </c>
      <c r="C216" s="47" t="s">
        <v>6</v>
      </c>
      <c r="D216" s="35">
        <v>0.30555555555555552</v>
      </c>
      <c r="E216" s="35">
        <v>0.44375000000000003</v>
      </c>
      <c r="F216" s="35">
        <v>0.46458333333333335</v>
      </c>
      <c r="G216" s="30">
        <f t="shared" si="57"/>
        <v>2.0833333333333315E-2</v>
      </c>
      <c r="H216" s="30">
        <f t="shared" si="58"/>
        <v>6.9444444444444267E-3</v>
      </c>
      <c r="I216" s="36"/>
      <c r="J216" s="36"/>
      <c r="K216" s="35">
        <f t="shared" si="59"/>
        <v>0</v>
      </c>
      <c r="L216" s="32">
        <v>0.62569444444444444</v>
      </c>
      <c r="M216" s="32">
        <f t="shared" si="60"/>
        <v>0.3131944444444445</v>
      </c>
      <c r="N216" s="23">
        <f>M216-$E$6</f>
        <v>2.1527777777777812E-2</v>
      </c>
      <c r="O216" s="33">
        <f t="shared" si="61"/>
        <v>2.1527777777777812E-2</v>
      </c>
      <c r="P216" s="67">
        <f>P215+N216</f>
        <v>2.1527777777777812E-2</v>
      </c>
      <c r="Q216" s="71"/>
      <c r="R216" s="71"/>
    </row>
    <row r="217" spans="2:18" x14ac:dyDescent="0.25">
      <c r="B217" s="45">
        <v>44034</v>
      </c>
      <c r="C217" s="47" t="s">
        <v>7</v>
      </c>
      <c r="D217" s="35">
        <v>0.32013888888888892</v>
      </c>
      <c r="E217" s="35">
        <v>0.4458333333333333</v>
      </c>
      <c r="F217" s="35">
        <v>0.4604166666666667</v>
      </c>
      <c r="G217" s="30">
        <f t="shared" si="57"/>
        <v>1.4583333333333393E-2</v>
      </c>
      <c r="H217" s="30">
        <f t="shared" si="58"/>
        <v>6.9444444444450443E-4</v>
      </c>
      <c r="I217" s="36"/>
      <c r="J217" s="36"/>
      <c r="K217" s="35">
        <f t="shared" si="59"/>
        <v>0</v>
      </c>
      <c r="L217" s="32">
        <v>0.62777777777777777</v>
      </c>
      <c r="M217" s="32">
        <f t="shared" si="60"/>
        <v>0.30694444444444435</v>
      </c>
      <c r="N217" s="23">
        <f>M217-$E$6</f>
        <v>1.5277777777777668E-2</v>
      </c>
      <c r="O217" s="33">
        <f t="shared" si="61"/>
        <v>3.680555555555548E-2</v>
      </c>
      <c r="P217" s="67">
        <f>P216+N217</f>
        <v>3.680555555555548E-2</v>
      </c>
      <c r="Q217" s="71"/>
      <c r="R217" s="71"/>
    </row>
    <row r="218" spans="2:18" x14ac:dyDescent="0.25">
      <c r="B218" s="45">
        <v>44035</v>
      </c>
      <c r="C218" s="47" t="s">
        <v>23</v>
      </c>
      <c r="D218" s="35">
        <v>0.32083333333333336</v>
      </c>
      <c r="E218" s="35">
        <v>0.43611111111111112</v>
      </c>
      <c r="F218" s="35"/>
      <c r="G218" s="30">
        <f t="shared" si="57"/>
        <v>-0.43611111111111112</v>
      </c>
      <c r="H218" s="30" t="b">
        <f t="shared" si="58"/>
        <v>0</v>
      </c>
      <c r="I218" s="36"/>
      <c r="J218" s="36"/>
      <c r="K218" s="35">
        <f t="shared" si="59"/>
        <v>0</v>
      </c>
      <c r="L218" s="32">
        <v>0.62708333333333333</v>
      </c>
      <c r="M218" s="32">
        <f t="shared" si="60"/>
        <v>0.30624999999999997</v>
      </c>
      <c r="N218" s="23">
        <f>M218-$E$6</f>
        <v>1.4583333333333282E-2</v>
      </c>
      <c r="O218" s="33">
        <f t="shared" si="61"/>
        <v>5.1388888888888762E-2</v>
      </c>
      <c r="P218" s="67">
        <f>P217+N218</f>
        <v>5.1388888888888762E-2</v>
      </c>
      <c r="Q218" s="71"/>
      <c r="R218" s="71"/>
    </row>
    <row r="219" spans="2:18" x14ac:dyDescent="0.25">
      <c r="B219" s="45">
        <v>44036</v>
      </c>
      <c r="C219" s="47" t="s">
        <v>8</v>
      </c>
      <c r="D219" s="35">
        <v>0.32500000000000001</v>
      </c>
      <c r="E219" s="35">
        <v>0.45694444444444443</v>
      </c>
      <c r="F219" s="35">
        <v>0.47430555555555554</v>
      </c>
      <c r="G219" s="30">
        <f t="shared" si="57"/>
        <v>1.7361111111111105E-2</v>
      </c>
      <c r="H219" s="30">
        <f t="shared" si="58"/>
        <v>3.4722222222222168E-3</v>
      </c>
      <c r="I219" s="36"/>
      <c r="J219" s="36"/>
      <c r="K219" s="35">
        <f t="shared" si="59"/>
        <v>0</v>
      </c>
      <c r="L219" s="32">
        <v>0.60763888888888895</v>
      </c>
      <c r="M219" s="32">
        <f t="shared" si="60"/>
        <v>0.27916666666666673</v>
      </c>
      <c r="N219" s="23">
        <f>M219-$E$6</f>
        <v>-1.2499999999999956E-2</v>
      </c>
      <c r="O219" s="33">
        <f t="shared" si="61"/>
        <v>3.8888888888888806E-2</v>
      </c>
      <c r="P219" s="67">
        <f>P218+N219</f>
        <v>3.8888888888888806E-2</v>
      </c>
      <c r="Q219" s="71"/>
      <c r="R219" s="71"/>
    </row>
    <row r="220" spans="2:18" x14ac:dyDescent="0.25">
      <c r="B220" s="45">
        <v>44037</v>
      </c>
      <c r="C220" s="47" t="s">
        <v>9</v>
      </c>
      <c r="D220" s="35">
        <v>0.3215277777777778</v>
      </c>
      <c r="E220" s="35">
        <v>0.4548611111111111</v>
      </c>
      <c r="F220" s="35">
        <v>0.46875</v>
      </c>
      <c r="G220" s="30">
        <f t="shared" si="57"/>
        <v>1.3888888888888895E-2</v>
      </c>
      <c r="H220" s="30" t="b">
        <f t="shared" si="58"/>
        <v>0</v>
      </c>
      <c r="I220" s="36"/>
      <c r="J220" s="36"/>
      <c r="K220" s="35">
        <f t="shared" si="59"/>
        <v>0</v>
      </c>
      <c r="L220" s="32">
        <v>0.62708333333333333</v>
      </c>
      <c r="M220" s="32">
        <f t="shared" si="60"/>
        <v>0.30555555555555552</v>
      </c>
      <c r="N220" s="23">
        <f>M220-$E$6</f>
        <v>1.388888888888884E-2</v>
      </c>
      <c r="O220" s="33">
        <f t="shared" si="61"/>
        <v>5.2777777777777646E-2</v>
      </c>
      <c r="P220" s="67">
        <f>P219+N220</f>
        <v>5.2777777777777646E-2</v>
      </c>
      <c r="Q220" s="72">
        <f t="shared" ref="Q220" si="68">SUM(M216:M220)</f>
        <v>1.5111111111111111</v>
      </c>
      <c r="R220" s="72">
        <f t="shared" ref="R220" si="69">Q220/5</f>
        <v>0.30222222222222223</v>
      </c>
    </row>
    <row r="221" spans="2:18" x14ac:dyDescent="0.25">
      <c r="B221" s="46">
        <v>44038</v>
      </c>
      <c r="C221" s="48" t="s">
        <v>21</v>
      </c>
      <c r="D221" s="43"/>
      <c r="E221" s="43"/>
      <c r="F221" s="43"/>
      <c r="G221" s="34"/>
      <c r="H221" s="34"/>
      <c r="I221" s="28"/>
      <c r="J221" s="28"/>
      <c r="K221" s="43"/>
      <c r="L221" s="27"/>
      <c r="M221" s="27"/>
      <c r="N221" s="44"/>
      <c r="O221" s="26"/>
      <c r="P221" s="65"/>
      <c r="Q221" s="71"/>
      <c r="R221" s="71"/>
    </row>
    <row r="222" spans="2:18" x14ac:dyDescent="0.25">
      <c r="B222" s="46">
        <v>44039</v>
      </c>
      <c r="C222" s="48" t="s">
        <v>22</v>
      </c>
      <c r="D222" s="43"/>
      <c r="E222" s="43"/>
      <c r="F222" s="43"/>
      <c r="G222" s="34"/>
      <c r="H222" s="34"/>
      <c r="I222" s="28"/>
      <c r="J222" s="28"/>
      <c r="K222" s="43"/>
      <c r="L222" s="27"/>
      <c r="M222" s="27"/>
      <c r="N222" s="44"/>
      <c r="O222" s="26"/>
      <c r="P222" s="65"/>
      <c r="Q222" s="71"/>
      <c r="R222" s="71"/>
    </row>
    <row r="223" spans="2:18" x14ac:dyDescent="0.25">
      <c r="B223" s="45">
        <v>44040</v>
      </c>
      <c r="C223" s="47" t="s">
        <v>6</v>
      </c>
      <c r="D223" s="35">
        <v>0.32222222222222224</v>
      </c>
      <c r="E223" s="35">
        <v>0.42708333333333331</v>
      </c>
      <c r="F223" s="35">
        <v>0.45694444444444443</v>
      </c>
      <c r="G223" s="30">
        <f t="shared" ref="G223:G255" si="70">F223-E223</f>
        <v>2.9861111111111116E-2</v>
      </c>
      <c r="H223" s="30">
        <f t="shared" ref="H223:H255" si="71">IF(G223&gt;$I$6,G223-$I$6)</f>
        <v>1.5972222222222228E-2</v>
      </c>
      <c r="I223" s="36"/>
      <c r="J223" s="36"/>
      <c r="K223" s="35">
        <f t="shared" ref="K223:K255" si="72">J223-I223</f>
        <v>0</v>
      </c>
      <c r="L223" s="32">
        <v>0.62708333333333333</v>
      </c>
      <c r="M223" s="32">
        <f t="shared" ref="M223:M255" si="73">(L223-D223)-H223-K223</f>
        <v>0.28888888888888886</v>
      </c>
      <c r="N223" s="23">
        <f>M223-$E$6</f>
        <v>-2.7777777777778234E-3</v>
      </c>
      <c r="O223" s="33">
        <f t="shared" ref="O223:O225" si="74">O222+N223</f>
        <v>-2.7777777777778234E-3</v>
      </c>
      <c r="P223" s="67">
        <f>P222+N223</f>
        <v>-2.7777777777778234E-3</v>
      </c>
      <c r="Q223" s="71"/>
      <c r="R223" s="71"/>
    </row>
    <row r="224" spans="2:18" x14ac:dyDescent="0.25">
      <c r="B224" s="45">
        <v>44041</v>
      </c>
      <c r="C224" s="47" t="s">
        <v>7</v>
      </c>
      <c r="D224" s="35">
        <v>0.32708333333333334</v>
      </c>
      <c r="E224" s="35">
        <v>0.4916666666666667</v>
      </c>
      <c r="F224" s="35">
        <v>0.50347222222222221</v>
      </c>
      <c r="G224" s="30">
        <f t="shared" si="70"/>
        <v>1.1805555555555514E-2</v>
      </c>
      <c r="H224" s="30" t="b">
        <f t="shared" si="71"/>
        <v>0</v>
      </c>
      <c r="I224" s="36"/>
      <c r="J224" s="36"/>
      <c r="K224" s="35">
        <f t="shared" si="72"/>
        <v>0</v>
      </c>
      <c r="L224" s="32">
        <v>0.62638888888888888</v>
      </c>
      <c r="M224" s="32">
        <f t="shared" si="73"/>
        <v>0.29930555555555555</v>
      </c>
      <c r="N224" s="23">
        <f>M224-$E$6</f>
        <v>7.6388888888888618E-3</v>
      </c>
      <c r="O224" s="33">
        <f t="shared" si="74"/>
        <v>4.8611111111110383E-3</v>
      </c>
      <c r="P224" s="67">
        <f>P223+N224</f>
        <v>4.8611111111110383E-3</v>
      </c>
      <c r="Q224" s="71"/>
      <c r="R224" s="71"/>
    </row>
    <row r="225" spans="2:18" x14ac:dyDescent="0.25">
      <c r="B225" s="45">
        <v>44042</v>
      </c>
      <c r="C225" s="47" t="s">
        <v>23</v>
      </c>
      <c r="D225" s="35">
        <v>0.3215277777777778</v>
      </c>
      <c r="E225" s="35">
        <v>0.44305555555555554</v>
      </c>
      <c r="F225" s="35">
        <v>0.45902777777777781</v>
      </c>
      <c r="G225" s="30">
        <f t="shared" si="70"/>
        <v>1.5972222222222276E-2</v>
      </c>
      <c r="H225" s="30">
        <f t="shared" si="71"/>
        <v>2.0833333333333884E-3</v>
      </c>
      <c r="I225" s="36"/>
      <c r="J225" s="36"/>
      <c r="K225" s="35">
        <f t="shared" si="72"/>
        <v>0</v>
      </c>
      <c r="L225" s="32">
        <v>0.62777777777777777</v>
      </c>
      <c r="M225" s="32">
        <f t="shared" si="73"/>
        <v>0.30416666666666659</v>
      </c>
      <c r="N225" s="23">
        <f>M225-$E$6</f>
        <v>1.24999999999999E-2</v>
      </c>
      <c r="O225" s="33">
        <f t="shared" si="74"/>
        <v>1.7361111111110938E-2</v>
      </c>
      <c r="P225" s="67">
        <f>P224+N225</f>
        <v>1.7361111111110938E-2</v>
      </c>
      <c r="Q225" s="71"/>
      <c r="R225" s="71"/>
    </row>
    <row r="226" spans="2:18" x14ac:dyDescent="0.25">
      <c r="B226" s="45">
        <v>44043</v>
      </c>
      <c r="C226" s="47" t="s">
        <v>8</v>
      </c>
      <c r="D226" s="35">
        <v>0.30902777777777779</v>
      </c>
      <c r="E226" s="35">
        <v>0.44444444444444442</v>
      </c>
      <c r="F226" s="35">
        <v>0.45833333333333331</v>
      </c>
      <c r="G226" s="30">
        <f t="shared" si="70"/>
        <v>1.3888888888888895E-2</v>
      </c>
      <c r="H226" s="30" t="b">
        <f t="shared" si="71"/>
        <v>0</v>
      </c>
      <c r="I226" s="36"/>
      <c r="J226" s="36"/>
      <c r="K226" s="35">
        <f t="shared" si="72"/>
        <v>0</v>
      </c>
      <c r="L226" s="32">
        <v>0.62638888888888888</v>
      </c>
      <c r="M226" s="32">
        <f t="shared" si="73"/>
        <v>0.31736111111111109</v>
      </c>
      <c r="N226" s="23">
        <f>M226-$E$6</f>
        <v>2.5694444444444409E-2</v>
      </c>
      <c r="O226" s="33">
        <f>O225+N226</f>
        <v>4.3055555555555347E-2</v>
      </c>
      <c r="P226" s="67">
        <f>P225+N226</f>
        <v>4.3055555555555347E-2</v>
      </c>
      <c r="Q226" s="71"/>
      <c r="R226" s="71"/>
    </row>
    <row r="227" spans="2:18" x14ac:dyDescent="0.25">
      <c r="B227" s="45">
        <v>44044</v>
      </c>
      <c r="C227" s="47" t="s">
        <v>9</v>
      </c>
      <c r="D227" s="35">
        <v>0.31180555555555556</v>
      </c>
      <c r="E227" s="35">
        <v>0.44097222222222227</v>
      </c>
      <c r="F227" s="35">
        <v>0.4597222222222222</v>
      </c>
      <c r="G227" s="30">
        <f t="shared" si="70"/>
        <v>1.8749999999999933E-2</v>
      </c>
      <c r="H227" s="30">
        <f t="shared" si="71"/>
        <v>4.8611111111110453E-3</v>
      </c>
      <c r="I227" s="36"/>
      <c r="J227" s="36"/>
      <c r="K227" s="35">
        <f t="shared" si="72"/>
        <v>0</v>
      </c>
      <c r="L227" s="32">
        <v>0.59722222222222221</v>
      </c>
      <c r="M227" s="32">
        <f t="shared" si="73"/>
        <v>0.28055555555555561</v>
      </c>
      <c r="N227" s="23">
        <f>M227-$E$6</f>
        <v>-1.1111111111111072E-2</v>
      </c>
      <c r="O227" s="33">
        <f t="shared" ref="O227:O255" si="75">O226+N227</f>
        <v>3.1944444444444275E-2</v>
      </c>
      <c r="P227" s="67">
        <f>P226+N227</f>
        <v>3.1944444444444275E-2</v>
      </c>
      <c r="Q227" s="72">
        <f t="shared" ref="Q227" si="76">SUM(M223:M227)</f>
        <v>1.4902777777777778</v>
      </c>
      <c r="R227" s="72">
        <f t="shared" ref="R227" si="77">Q227/5</f>
        <v>0.29805555555555557</v>
      </c>
    </row>
    <row r="228" spans="2:18" x14ac:dyDescent="0.25">
      <c r="B228" s="46">
        <v>44045</v>
      </c>
      <c r="C228" s="48" t="s">
        <v>21</v>
      </c>
      <c r="D228" s="43"/>
      <c r="E228" s="43"/>
      <c r="F228" s="43"/>
      <c r="G228" s="34"/>
      <c r="H228" s="34"/>
      <c r="I228" s="28"/>
      <c r="J228" s="28"/>
      <c r="K228" s="43"/>
      <c r="L228" s="27"/>
      <c r="M228" s="27"/>
      <c r="N228" s="44"/>
      <c r="O228" s="26"/>
      <c r="P228" s="65"/>
      <c r="Q228" s="71"/>
      <c r="R228" s="71"/>
    </row>
    <row r="229" spans="2:18" x14ac:dyDescent="0.25">
      <c r="B229" s="46">
        <v>44046</v>
      </c>
      <c r="C229" s="48" t="s">
        <v>22</v>
      </c>
      <c r="D229" s="43"/>
      <c r="E229" s="43"/>
      <c r="F229" s="43"/>
      <c r="G229" s="34"/>
      <c r="H229" s="34"/>
      <c r="I229" s="28"/>
      <c r="J229" s="28"/>
      <c r="K229" s="43"/>
      <c r="L229" s="27"/>
      <c r="M229" s="27"/>
      <c r="N229" s="44"/>
      <c r="O229" s="26"/>
      <c r="P229" s="65"/>
      <c r="Q229" s="71"/>
      <c r="R229" s="71"/>
    </row>
    <row r="230" spans="2:18" x14ac:dyDescent="0.25">
      <c r="B230" s="45">
        <v>44047</v>
      </c>
      <c r="C230" s="47" t="s">
        <v>6</v>
      </c>
      <c r="D230" s="35">
        <v>0.32291666666666669</v>
      </c>
      <c r="E230" s="35">
        <v>0.45277777777777778</v>
      </c>
      <c r="F230" s="35">
        <v>0.47291666666666665</v>
      </c>
      <c r="G230" s="30">
        <f t="shared" si="70"/>
        <v>2.0138888888888873E-2</v>
      </c>
      <c r="H230" s="30">
        <f t="shared" si="71"/>
        <v>6.2499999999999847E-3</v>
      </c>
      <c r="I230" s="36"/>
      <c r="J230" s="36"/>
      <c r="K230" s="35">
        <f t="shared" si="72"/>
        <v>0</v>
      </c>
      <c r="L230" s="32">
        <v>0.62847222222222221</v>
      </c>
      <c r="M230" s="32">
        <f t="shared" si="73"/>
        <v>0.29930555555555555</v>
      </c>
      <c r="N230" s="23">
        <f>M230-$E$6</f>
        <v>7.6388888888888618E-3</v>
      </c>
      <c r="O230" s="33">
        <f t="shared" si="75"/>
        <v>7.6388888888888618E-3</v>
      </c>
      <c r="P230" s="67">
        <f>P229+N230</f>
        <v>7.6388888888888618E-3</v>
      </c>
      <c r="Q230" s="71"/>
      <c r="R230" s="71"/>
    </row>
    <row r="231" spans="2:18" x14ac:dyDescent="0.25">
      <c r="B231" s="45">
        <v>44048</v>
      </c>
      <c r="C231" s="47" t="s">
        <v>7</v>
      </c>
      <c r="D231" s="35">
        <v>0.32222222222222224</v>
      </c>
      <c r="E231" s="35">
        <v>0.45555555555555555</v>
      </c>
      <c r="F231" s="35">
        <v>0.47291666666666665</v>
      </c>
      <c r="G231" s="30">
        <f t="shared" si="70"/>
        <v>1.7361111111111105E-2</v>
      </c>
      <c r="H231" s="30">
        <f t="shared" si="71"/>
        <v>3.4722222222222168E-3</v>
      </c>
      <c r="I231" s="36"/>
      <c r="J231" s="36"/>
      <c r="K231" s="35">
        <f t="shared" si="72"/>
        <v>0</v>
      </c>
      <c r="L231" s="32">
        <v>0.62777777777777777</v>
      </c>
      <c r="M231" s="32">
        <f t="shared" si="73"/>
        <v>0.30208333333333331</v>
      </c>
      <c r="N231" s="23">
        <f>M231-$E$6</f>
        <v>1.041666666666663E-2</v>
      </c>
      <c r="O231" s="33">
        <f t="shared" si="75"/>
        <v>1.8055555555555491E-2</v>
      </c>
      <c r="P231" s="67">
        <f>P230+N231</f>
        <v>1.8055555555555491E-2</v>
      </c>
      <c r="Q231" s="71"/>
      <c r="R231" s="71"/>
    </row>
    <row r="232" spans="2:18" x14ac:dyDescent="0.25">
      <c r="B232" s="45">
        <v>44049</v>
      </c>
      <c r="C232" s="47" t="s">
        <v>23</v>
      </c>
      <c r="D232" s="35">
        <v>0.32430555555555557</v>
      </c>
      <c r="E232" s="35">
        <v>0.44930555555555557</v>
      </c>
      <c r="F232" s="35">
        <v>0.4604166666666667</v>
      </c>
      <c r="G232" s="30">
        <f t="shared" si="70"/>
        <v>1.1111111111111127E-2</v>
      </c>
      <c r="H232" s="30" t="b">
        <f t="shared" si="71"/>
        <v>0</v>
      </c>
      <c r="I232" s="36"/>
      <c r="J232" s="36"/>
      <c r="K232" s="35">
        <f t="shared" si="72"/>
        <v>0</v>
      </c>
      <c r="L232" s="32">
        <v>0.62569444444444444</v>
      </c>
      <c r="M232" s="32">
        <f t="shared" si="73"/>
        <v>0.30138888888888887</v>
      </c>
      <c r="N232" s="23">
        <f>M232-$E$6</f>
        <v>9.7222222222221877E-3</v>
      </c>
      <c r="O232" s="33">
        <f t="shared" si="75"/>
        <v>2.7777777777777679E-2</v>
      </c>
      <c r="P232" s="67">
        <f>P231+N232</f>
        <v>2.7777777777777679E-2</v>
      </c>
      <c r="Q232" s="71"/>
      <c r="R232" s="71"/>
    </row>
    <row r="233" spans="2:18" x14ac:dyDescent="0.25">
      <c r="B233" s="45">
        <v>44050</v>
      </c>
      <c r="C233" s="47" t="s">
        <v>8</v>
      </c>
      <c r="D233" s="35">
        <v>0.34097222222222223</v>
      </c>
      <c r="E233" s="35">
        <v>0.4513888888888889</v>
      </c>
      <c r="F233" s="35">
        <v>0.46736111111111112</v>
      </c>
      <c r="G233" s="30">
        <f t="shared" si="70"/>
        <v>1.5972222222222221E-2</v>
      </c>
      <c r="H233" s="30">
        <f t="shared" si="71"/>
        <v>2.0833333333333329E-3</v>
      </c>
      <c r="I233" s="36"/>
      <c r="J233" s="36"/>
      <c r="K233" s="35">
        <f t="shared" si="72"/>
        <v>0</v>
      </c>
      <c r="L233" s="32">
        <v>0.62708333333333333</v>
      </c>
      <c r="M233" s="32">
        <f t="shared" si="73"/>
        <v>0.28402777777777777</v>
      </c>
      <c r="N233" s="23">
        <f>M233-$E$6</f>
        <v>-7.6388888888889173E-3</v>
      </c>
      <c r="O233" s="33">
        <f t="shared" si="75"/>
        <v>2.0138888888888762E-2</v>
      </c>
      <c r="P233" s="67">
        <f>P232+N233</f>
        <v>2.0138888888888762E-2</v>
      </c>
      <c r="Q233" s="71"/>
      <c r="R233" s="71"/>
    </row>
    <row r="234" spans="2:18" x14ac:dyDescent="0.25">
      <c r="B234" s="45">
        <v>44051</v>
      </c>
      <c r="C234" s="47" t="s">
        <v>9</v>
      </c>
      <c r="D234" s="35">
        <v>0.32222222222222224</v>
      </c>
      <c r="E234" s="35">
        <v>0.44236111111111115</v>
      </c>
      <c r="F234" s="35">
        <v>0.47361111111111115</v>
      </c>
      <c r="G234" s="30">
        <f t="shared" si="70"/>
        <v>3.125E-2</v>
      </c>
      <c r="H234" s="30">
        <f t="shared" si="71"/>
        <v>1.7361111111111112E-2</v>
      </c>
      <c r="I234" s="36"/>
      <c r="J234" s="36"/>
      <c r="K234" s="35">
        <f t="shared" si="72"/>
        <v>0</v>
      </c>
      <c r="L234" s="32">
        <v>0.62152777777777779</v>
      </c>
      <c r="M234" s="32">
        <f t="shared" si="73"/>
        <v>0.28194444444444444</v>
      </c>
      <c r="N234" s="23">
        <f>M234-$E$6</f>
        <v>-9.7222222222222432E-3</v>
      </c>
      <c r="O234" s="33">
        <f t="shared" si="75"/>
        <v>1.0416666666666519E-2</v>
      </c>
      <c r="P234" s="67">
        <f>P233+N234</f>
        <v>1.0416666666666519E-2</v>
      </c>
      <c r="Q234" s="72">
        <f t="shared" ref="Q234" si="78">SUM(M230:M234)</f>
        <v>1.46875</v>
      </c>
      <c r="R234" s="72">
        <f t="shared" ref="R234" si="79">Q234/5</f>
        <v>0.29375000000000001</v>
      </c>
    </row>
    <row r="235" spans="2:18" x14ac:dyDescent="0.25">
      <c r="B235" s="46">
        <v>44052</v>
      </c>
      <c r="C235" s="48" t="s">
        <v>21</v>
      </c>
      <c r="D235" s="43"/>
      <c r="E235" s="43"/>
      <c r="F235" s="43"/>
      <c r="G235" s="34"/>
      <c r="H235" s="34"/>
      <c r="I235" s="28"/>
      <c r="J235" s="28"/>
      <c r="K235" s="43"/>
      <c r="L235" s="27"/>
      <c r="M235" s="27"/>
      <c r="N235" s="44"/>
      <c r="O235" s="26"/>
      <c r="P235" s="65"/>
      <c r="Q235" s="71"/>
      <c r="R235" s="71"/>
    </row>
    <row r="236" spans="2:18" x14ac:dyDescent="0.25">
      <c r="B236" s="46">
        <v>44053</v>
      </c>
      <c r="C236" s="48" t="s">
        <v>22</v>
      </c>
      <c r="D236" s="43"/>
      <c r="E236" s="43"/>
      <c r="F236" s="43"/>
      <c r="G236" s="34"/>
      <c r="H236" s="34"/>
      <c r="I236" s="28"/>
      <c r="J236" s="28"/>
      <c r="K236" s="43"/>
      <c r="L236" s="27"/>
      <c r="M236" s="27"/>
      <c r="N236" s="44"/>
      <c r="O236" s="26"/>
      <c r="P236" s="65"/>
      <c r="Q236" s="71"/>
      <c r="R236" s="71"/>
    </row>
    <row r="237" spans="2:18" x14ac:dyDescent="0.25">
      <c r="B237" s="45">
        <v>44054</v>
      </c>
      <c r="C237" s="47" t="s">
        <v>6</v>
      </c>
      <c r="D237" s="80"/>
      <c r="E237" s="80"/>
      <c r="F237" s="80"/>
      <c r="G237" s="81">
        <f t="shared" si="70"/>
        <v>0</v>
      </c>
      <c r="H237" s="81" t="b">
        <f t="shared" si="71"/>
        <v>0</v>
      </c>
      <c r="I237" s="82"/>
      <c r="J237" s="82"/>
      <c r="K237" s="80">
        <f t="shared" si="72"/>
        <v>0</v>
      </c>
      <c r="L237" s="83"/>
      <c r="M237" s="83">
        <f t="shared" si="73"/>
        <v>0</v>
      </c>
      <c r="N237" s="23">
        <f>M237-$E$6</f>
        <v>-0.29166666666666669</v>
      </c>
      <c r="O237" s="33">
        <f t="shared" si="75"/>
        <v>-0.29166666666666669</v>
      </c>
      <c r="P237" s="67">
        <f>P236+N237</f>
        <v>-0.29166666666666669</v>
      </c>
      <c r="Q237" s="71"/>
      <c r="R237" s="71"/>
    </row>
    <row r="238" spans="2:18" x14ac:dyDescent="0.25">
      <c r="B238" s="45">
        <v>44055</v>
      </c>
      <c r="C238" s="47" t="s">
        <v>7</v>
      </c>
      <c r="D238" s="80"/>
      <c r="E238" s="80"/>
      <c r="F238" s="80"/>
      <c r="G238" s="81">
        <f t="shared" si="70"/>
        <v>0</v>
      </c>
      <c r="H238" s="81" t="b">
        <f t="shared" si="71"/>
        <v>0</v>
      </c>
      <c r="I238" s="82"/>
      <c r="J238" s="82"/>
      <c r="K238" s="80">
        <f t="shared" si="72"/>
        <v>0</v>
      </c>
      <c r="L238" s="83"/>
      <c r="M238" s="83">
        <f t="shared" si="73"/>
        <v>0</v>
      </c>
      <c r="N238" s="23">
        <f>M238-$E$6</f>
        <v>-0.29166666666666669</v>
      </c>
      <c r="O238" s="33">
        <f t="shared" si="75"/>
        <v>-0.58333333333333337</v>
      </c>
      <c r="P238" s="67">
        <f>P237+N238</f>
        <v>-0.58333333333333337</v>
      </c>
      <c r="Q238" s="71"/>
      <c r="R238" s="71"/>
    </row>
    <row r="239" spans="2:18" x14ac:dyDescent="0.25">
      <c r="B239" s="45">
        <v>44056</v>
      </c>
      <c r="C239" s="47" t="s">
        <v>23</v>
      </c>
      <c r="D239" s="80"/>
      <c r="E239" s="80"/>
      <c r="F239" s="80"/>
      <c r="G239" s="81">
        <f t="shared" si="70"/>
        <v>0</v>
      </c>
      <c r="H239" s="81" t="b">
        <f t="shared" si="71"/>
        <v>0</v>
      </c>
      <c r="I239" s="82"/>
      <c r="J239" s="82"/>
      <c r="K239" s="80">
        <f t="shared" si="72"/>
        <v>0</v>
      </c>
      <c r="L239" s="83"/>
      <c r="M239" s="83">
        <f t="shared" si="73"/>
        <v>0</v>
      </c>
      <c r="N239" s="23">
        <f>M239-$E$6</f>
        <v>-0.29166666666666669</v>
      </c>
      <c r="O239" s="33">
        <f t="shared" si="75"/>
        <v>-0.875</v>
      </c>
      <c r="P239" s="67">
        <f>P238+N239</f>
        <v>-0.875</v>
      </c>
      <c r="Q239" s="71"/>
      <c r="R239" s="71"/>
    </row>
    <row r="240" spans="2:18" x14ac:dyDescent="0.25">
      <c r="B240" s="45">
        <v>44057</v>
      </c>
      <c r="C240" s="47" t="s">
        <v>8</v>
      </c>
      <c r="D240" s="80"/>
      <c r="E240" s="80"/>
      <c r="F240" s="80"/>
      <c r="G240" s="81">
        <f t="shared" si="70"/>
        <v>0</v>
      </c>
      <c r="H240" s="81" t="b">
        <f t="shared" si="71"/>
        <v>0</v>
      </c>
      <c r="I240" s="82"/>
      <c r="J240" s="82"/>
      <c r="K240" s="80">
        <f t="shared" si="72"/>
        <v>0</v>
      </c>
      <c r="L240" s="83"/>
      <c r="M240" s="83">
        <f t="shared" si="73"/>
        <v>0</v>
      </c>
      <c r="N240" s="23">
        <f>M240-$E$6</f>
        <v>-0.29166666666666669</v>
      </c>
      <c r="O240" s="33">
        <f t="shared" si="75"/>
        <v>-1.1666666666666667</v>
      </c>
      <c r="P240" s="67">
        <f>P239+N240</f>
        <v>-1.1666666666666667</v>
      </c>
      <c r="Q240" s="71"/>
      <c r="R240" s="71"/>
    </row>
    <row r="241" spans="2:18" x14ac:dyDescent="0.25">
      <c r="B241" s="45">
        <v>44058</v>
      </c>
      <c r="C241" s="47" t="s">
        <v>9</v>
      </c>
      <c r="D241" s="80"/>
      <c r="E241" s="80"/>
      <c r="F241" s="80"/>
      <c r="G241" s="81">
        <f t="shared" si="70"/>
        <v>0</v>
      </c>
      <c r="H241" s="81" t="b">
        <f t="shared" si="71"/>
        <v>0</v>
      </c>
      <c r="I241" s="82"/>
      <c r="J241" s="82"/>
      <c r="K241" s="80">
        <f t="shared" si="72"/>
        <v>0</v>
      </c>
      <c r="L241" s="83"/>
      <c r="M241" s="83">
        <f t="shared" si="73"/>
        <v>0</v>
      </c>
      <c r="N241" s="23">
        <f>M241-$E$6</f>
        <v>-0.29166666666666669</v>
      </c>
      <c r="O241" s="33">
        <f t="shared" si="75"/>
        <v>-1.4583333333333335</v>
      </c>
      <c r="P241" s="67">
        <f>P240+N241</f>
        <v>-1.4583333333333335</v>
      </c>
      <c r="Q241" s="72">
        <f t="shared" ref="Q241" si="80">SUM(M237:M241)</f>
        <v>0</v>
      </c>
      <c r="R241" s="72">
        <f t="shared" ref="R241" si="81">Q241/5</f>
        <v>0</v>
      </c>
    </row>
    <row r="242" spans="2:18" x14ac:dyDescent="0.25">
      <c r="B242" s="46">
        <v>44059</v>
      </c>
      <c r="C242" s="48" t="s">
        <v>21</v>
      </c>
      <c r="D242" s="43"/>
      <c r="E242" s="43"/>
      <c r="F242" s="43"/>
      <c r="G242" s="34"/>
      <c r="H242" s="34"/>
      <c r="I242" s="28"/>
      <c r="J242" s="28"/>
      <c r="K242" s="43"/>
      <c r="L242" s="27"/>
      <c r="M242" s="27"/>
      <c r="N242" s="44"/>
      <c r="O242" s="26"/>
      <c r="P242" s="65"/>
      <c r="Q242" s="71"/>
      <c r="R242" s="71"/>
    </row>
    <row r="243" spans="2:18" x14ac:dyDescent="0.25">
      <c r="B243" s="46">
        <v>44060</v>
      </c>
      <c r="C243" s="48" t="s">
        <v>22</v>
      </c>
      <c r="D243" s="43"/>
      <c r="E243" s="43"/>
      <c r="F243" s="43"/>
      <c r="G243" s="34"/>
      <c r="H243" s="34"/>
      <c r="I243" s="28"/>
      <c r="J243" s="28"/>
      <c r="K243" s="43"/>
      <c r="L243" s="27"/>
      <c r="M243" s="27"/>
      <c r="N243" s="44"/>
      <c r="O243" s="26"/>
      <c r="P243" s="65"/>
      <c r="Q243" s="71"/>
      <c r="R243" s="71"/>
    </row>
    <row r="244" spans="2:18" x14ac:dyDescent="0.25">
      <c r="B244" s="45">
        <v>44061</v>
      </c>
      <c r="C244" s="47" t="s">
        <v>6</v>
      </c>
      <c r="D244" s="35">
        <v>0.33124999999999999</v>
      </c>
      <c r="E244" s="35">
        <v>0.44444444444444442</v>
      </c>
      <c r="F244" s="35">
        <v>0.46875</v>
      </c>
      <c r="G244" s="30">
        <f t="shared" si="70"/>
        <v>2.430555555555558E-2</v>
      </c>
      <c r="H244" s="30">
        <f t="shared" si="71"/>
        <v>1.0416666666666692E-2</v>
      </c>
      <c r="I244" s="36"/>
      <c r="J244" s="36"/>
      <c r="K244" s="35">
        <f t="shared" si="72"/>
        <v>0</v>
      </c>
      <c r="L244" s="32">
        <v>0.625</v>
      </c>
      <c r="M244" s="32">
        <f t="shared" si="73"/>
        <v>0.28333333333333333</v>
      </c>
      <c r="N244" s="23">
        <f>M244-$E$6</f>
        <v>-8.3333333333333592E-3</v>
      </c>
      <c r="O244" s="33">
        <f t="shared" si="75"/>
        <v>-8.3333333333333592E-3</v>
      </c>
      <c r="P244" s="67">
        <f>P243+N244</f>
        <v>-8.3333333333333592E-3</v>
      </c>
      <c r="Q244" s="71"/>
      <c r="R244" s="71"/>
    </row>
    <row r="245" spans="2:18" x14ac:dyDescent="0.25">
      <c r="B245" s="45">
        <v>44062</v>
      </c>
      <c r="C245" s="47" t="s">
        <v>7</v>
      </c>
      <c r="D245" s="35">
        <v>0.32500000000000001</v>
      </c>
      <c r="E245" s="35">
        <v>0.44861111111111113</v>
      </c>
      <c r="F245" s="35">
        <v>0.4694444444444445</v>
      </c>
      <c r="G245" s="30">
        <f t="shared" si="70"/>
        <v>2.083333333333337E-2</v>
      </c>
      <c r="H245" s="30">
        <f t="shared" si="71"/>
        <v>6.9444444444444822E-3</v>
      </c>
      <c r="I245" s="36"/>
      <c r="J245" s="36"/>
      <c r="K245" s="35">
        <f t="shared" si="72"/>
        <v>0</v>
      </c>
      <c r="L245" s="32">
        <v>0.62708333333333333</v>
      </c>
      <c r="M245" s="32">
        <f t="shared" si="73"/>
        <v>0.29513888888888884</v>
      </c>
      <c r="N245" s="23">
        <f>M245-$E$6</f>
        <v>3.4722222222221544E-3</v>
      </c>
      <c r="O245" s="33">
        <f t="shared" si="75"/>
        <v>-4.8611111111112049E-3</v>
      </c>
      <c r="P245" s="67">
        <f>P244+N245</f>
        <v>-4.8611111111112049E-3</v>
      </c>
      <c r="Q245" s="71"/>
      <c r="R245" s="71"/>
    </row>
    <row r="246" spans="2:18" x14ac:dyDescent="0.25">
      <c r="B246" s="45">
        <v>44063</v>
      </c>
      <c r="C246" s="47" t="s">
        <v>23</v>
      </c>
      <c r="D246" s="35">
        <v>0.3215277777777778</v>
      </c>
      <c r="E246" s="35">
        <v>0.44236111111111115</v>
      </c>
      <c r="F246" s="35">
        <v>0.46736111111111112</v>
      </c>
      <c r="G246" s="30">
        <f t="shared" si="70"/>
        <v>2.4999999999999967E-2</v>
      </c>
      <c r="H246" s="30">
        <f t="shared" si="71"/>
        <v>1.1111111111111079E-2</v>
      </c>
      <c r="I246" s="36"/>
      <c r="J246" s="36"/>
      <c r="K246" s="35">
        <f t="shared" si="72"/>
        <v>0</v>
      </c>
      <c r="L246" s="32">
        <v>0.62777777777777777</v>
      </c>
      <c r="M246" s="32">
        <f t="shared" si="73"/>
        <v>0.2951388888888889</v>
      </c>
      <c r="N246" s="23">
        <f>M246-$E$6</f>
        <v>3.4722222222222099E-3</v>
      </c>
      <c r="O246" s="33">
        <f t="shared" si="75"/>
        <v>-1.388888888888995E-3</v>
      </c>
      <c r="P246" s="67">
        <f>P245+N246</f>
        <v>-1.388888888888995E-3</v>
      </c>
      <c r="Q246" s="71"/>
      <c r="R246" s="71"/>
    </row>
    <row r="247" spans="2:18" x14ac:dyDescent="0.25">
      <c r="B247" s="45">
        <v>44064</v>
      </c>
      <c r="C247" s="47" t="s">
        <v>8</v>
      </c>
      <c r="D247" s="35">
        <v>0.32361111111111113</v>
      </c>
      <c r="E247" s="35">
        <v>0.44236111111111115</v>
      </c>
      <c r="F247" s="35">
        <v>0.45694444444444443</v>
      </c>
      <c r="G247" s="30">
        <f t="shared" si="70"/>
        <v>1.4583333333333282E-2</v>
      </c>
      <c r="H247" s="30">
        <f t="shared" si="71"/>
        <v>6.9444444444439341E-4</v>
      </c>
      <c r="I247" s="36"/>
      <c r="J247" s="36"/>
      <c r="K247" s="35">
        <f t="shared" si="72"/>
        <v>0</v>
      </c>
      <c r="L247" s="32">
        <v>0.62708333333333333</v>
      </c>
      <c r="M247" s="32">
        <f t="shared" si="73"/>
        <v>0.30277777777777781</v>
      </c>
      <c r="N247" s="23">
        <f>M247-$E$6</f>
        <v>1.1111111111111127E-2</v>
      </c>
      <c r="O247" s="33">
        <f t="shared" si="75"/>
        <v>9.7222222222221322E-3</v>
      </c>
      <c r="P247" s="67">
        <f>P246+N247</f>
        <v>9.7222222222221322E-3</v>
      </c>
      <c r="Q247" s="71"/>
      <c r="R247" s="71"/>
    </row>
    <row r="248" spans="2:18" x14ac:dyDescent="0.25">
      <c r="B248" s="45">
        <v>44065</v>
      </c>
      <c r="C248" s="47" t="s">
        <v>9</v>
      </c>
      <c r="D248" s="35">
        <v>0.32291666666666669</v>
      </c>
      <c r="E248" s="35">
        <v>0.44166666666666665</v>
      </c>
      <c r="F248" s="35">
        <v>0.45833333333333331</v>
      </c>
      <c r="G248" s="30">
        <f t="shared" si="70"/>
        <v>1.6666666666666663E-2</v>
      </c>
      <c r="H248" s="30">
        <f t="shared" si="71"/>
        <v>2.7777777777777748E-3</v>
      </c>
      <c r="I248" s="36"/>
      <c r="J248" s="36"/>
      <c r="K248" s="35">
        <f t="shared" si="72"/>
        <v>0</v>
      </c>
      <c r="L248" s="32">
        <v>0.62708333333333333</v>
      </c>
      <c r="M248" s="32">
        <f t="shared" si="73"/>
        <v>0.30138888888888887</v>
      </c>
      <c r="N248" s="23">
        <f>M248-$E$6</f>
        <v>9.7222222222221877E-3</v>
      </c>
      <c r="O248" s="33">
        <f t="shared" si="75"/>
        <v>1.944444444444432E-2</v>
      </c>
      <c r="P248" s="67">
        <f>P247+N248</f>
        <v>1.944444444444432E-2</v>
      </c>
      <c r="Q248" s="72">
        <f t="shared" ref="Q248" si="82">SUM(M244:M248)</f>
        <v>1.4777777777777779</v>
      </c>
      <c r="R248" s="72">
        <f t="shared" ref="R248" si="83">Q248/5</f>
        <v>0.29555555555555557</v>
      </c>
    </row>
    <row r="249" spans="2:18" x14ac:dyDescent="0.25">
      <c r="B249" s="46">
        <v>44066</v>
      </c>
      <c r="C249" s="48" t="s">
        <v>21</v>
      </c>
      <c r="D249" s="43"/>
      <c r="E249" s="43"/>
      <c r="F249" s="43"/>
      <c r="G249" s="34"/>
      <c r="H249" s="34"/>
      <c r="I249" s="28"/>
      <c r="J249" s="28"/>
      <c r="K249" s="43"/>
      <c r="L249" s="27"/>
      <c r="M249" s="27"/>
      <c r="N249" s="44"/>
      <c r="O249" s="26"/>
      <c r="P249" s="65"/>
      <c r="Q249" s="71"/>
      <c r="R249" s="71"/>
    </row>
    <row r="250" spans="2:18" x14ac:dyDescent="0.25">
      <c r="B250" s="46">
        <v>44067</v>
      </c>
      <c r="C250" s="48" t="s">
        <v>22</v>
      </c>
      <c r="D250" s="43"/>
      <c r="E250" s="43"/>
      <c r="F250" s="43"/>
      <c r="G250" s="34"/>
      <c r="H250" s="34"/>
      <c r="I250" s="28"/>
      <c r="J250" s="28"/>
      <c r="K250" s="43"/>
      <c r="L250" s="27"/>
      <c r="M250" s="27"/>
      <c r="N250" s="44"/>
      <c r="O250" s="26"/>
      <c r="P250" s="65"/>
      <c r="Q250" s="71"/>
      <c r="R250" s="71"/>
    </row>
    <row r="251" spans="2:18" x14ac:dyDescent="0.25">
      <c r="B251" s="45">
        <v>44068</v>
      </c>
      <c r="C251" s="47" t="s">
        <v>6</v>
      </c>
      <c r="D251" s="35">
        <v>0.32083333333333336</v>
      </c>
      <c r="E251" s="35">
        <v>0.4548611111111111</v>
      </c>
      <c r="F251" s="35">
        <v>0.47500000000000003</v>
      </c>
      <c r="G251" s="30">
        <f t="shared" si="70"/>
        <v>2.0138888888888928E-2</v>
      </c>
      <c r="H251" s="30">
        <f t="shared" si="71"/>
        <v>6.2500000000000402E-3</v>
      </c>
      <c r="I251" s="36"/>
      <c r="J251" s="36"/>
      <c r="K251" s="35">
        <f t="shared" si="72"/>
        <v>0</v>
      </c>
      <c r="L251" s="32">
        <v>0.62708333333333333</v>
      </c>
      <c r="M251" s="32">
        <f t="shared" si="73"/>
        <v>0.29999999999999993</v>
      </c>
      <c r="N251" s="23">
        <f>M251-$E$6</f>
        <v>8.3333333333332482E-3</v>
      </c>
      <c r="O251" s="33">
        <f t="shared" si="75"/>
        <v>8.3333333333332482E-3</v>
      </c>
      <c r="P251" s="67">
        <f>P250+N251</f>
        <v>8.3333333333332482E-3</v>
      </c>
      <c r="Q251" s="71"/>
      <c r="R251" s="71"/>
    </row>
    <row r="252" spans="2:18" x14ac:dyDescent="0.25">
      <c r="B252" s="45">
        <v>44069</v>
      </c>
      <c r="C252" s="47" t="s">
        <v>7</v>
      </c>
      <c r="D252" s="35">
        <v>0.32777777777777778</v>
      </c>
      <c r="E252" s="35">
        <v>0.4368055555555555</v>
      </c>
      <c r="F252" s="35">
        <v>0.46458333333333335</v>
      </c>
      <c r="G252" s="30">
        <f t="shared" si="70"/>
        <v>2.7777777777777846E-2</v>
      </c>
      <c r="H252" s="30">
        <f t="shared" si="71"/>
        <v>1.3888888888888958E-2</v>
      </c>
      <c r="I252" s="36"/>
      <c r="J252" s="36"/>
      <c r="K252" s="35">
        <f t="shared" si="72"/>
        <v>0</v>
      </c>
      <c r="L252" s="32">
        <v>0.62708333333333333</v>
      </c>
      <c r="M252" s="32">
        <f t="shared" si="73"/>
        <v>0.2854166666666666</v>
      </c>
      <c r="N252" s="23">
        <f>M252-$E$6</f>
        <v>-6.2500000000000888E-3</v>
      </c>
      <c r="O252" s="33">
        <f t="shared" si="75"/>
        <v>2.0833333333331594E-3</v>
      </c>
      <c r="P252" s="67">
        <f>P251+N252</f>
        <v>2.0833333333331594E-3</v>
      </c>
      <c r="Q252" s="71"/>
      <c r="R252" s="71"/>
    </row>
    <row r="253" spans="2:18" x14ac:dyDescent="0.25">
      <c r="B253" s="45">
        <v>44070</v>
      </c>
      <c r="C253" s="47" t="s">
        <v>23</v>
      </c>
      <c r="D253" s="35">
        <v>0.32083333333333336</v>
      </c>
      <c r="E253" s="35">
        <v>0.44444444444444442</v>
      </c>
      <c r="F253" s="35">
        <v>0.46319444444444446</v>
      </c>
      <c r="G253" s="30">
        <f t="shared" si="70"/>
        <v>1.8750000000000044E-2</v>
      </c>
      <c r="H253" s="30">
        <f t="shared" si="71"/>
        <v>4.8611111111111563E-3</v>
      </c>
      <c r="I253" s="36"/>
      <c r="J253" s="36"/>
      <c r="K253" s="35">
        <f t="shared" si="72"/>
        <v>0</v>
      </c>
      <c r="L253" s="32">
        <v>0.62777777777777777</v>
      </c>
      <c r="M253" s="32">
        <f t="shared" si="73"/>
        <v>0.30208333333333326</v>
      </c>
      <c r="N253" s="23">
        <f>M253-$E$6</f>
        <v>1.0416666666666574E-2</v>
      </c>
      <c r="O253" s="33">
        <f t="shared" si="75"/>
        <v>1.2499999999999734E-2</v>
      </c>
      <c r="P253" s="67">
        <f>P252+N253</f>
        <v>1.2499999999999734E-2</v>
      </c>
      <c r="Q253" s="71"/>
      <c r="R253" s="71"/>
    </row>
    <row r="254" spans="2:18" x14ac:dyDescent="0.25">
      <c r="B254" s="45">
        <v>44071</v>
      </c>
      <c r="C254" s="47" t="s">
        <v>8</v>
      </c>
      <c r="D254" s="35">
        <v>0.32777777777777778</v>
      </c>
      <c r="E254" s="35">
        <v>0.45208333333333334</v>
      </c>
      <c r="F254" s="35">
        <v>0.47152777777777777</v>
      </c>
      <c r="G254" s="30">
        <f t="shared" si="70"/>
        <v>1.9444444444444431E-2</v>
      </c>
      <c r="H254" s="30">
        <f t="shared" si="71"/>
        <v>5.5555555555555428E-3</v>
      </c>
      <c r="I254" s="36"/>
      <c r="J254" s="36"/>
      <c r="K254" s="35">
        <f t="shared" si="72"/>
        <v>0</v>
      </c>
      <c r="L254" s="32">
        <v>0.62708333333333333</v>
      </c>
      <c r="M254" s="32">
        <f t="shared" si="73"/>
        <v>0.29375000000000001</v>
      </c>
      <c r="N254" s="23">
        <f>M254-$E$6</f>
        <v>2.0833333333333259E-3</v>
      </c>
      <c r="O254" s="33">
        <f t="shared" si="75"/>
        <v>1.4583333333333059E-2</v>
      </c>
      <c r="P254" s="67">
        <f>P253+N254</f>
        <v>1.4583333333333059E-2</v>
      </c>
      <c r="Q254" s="71"/>
      <c r="R254" s="71"/>
    </row>
    <row r="255" spans="2:18" x14ac:dyDescent="0.25">
      <c r="B255" s="45">
        <v>44072</v>
      </c>
      <c r="C255" s="47" t="s">
        <v>9</v>
      </c>
      <c r="D255" s="35">
        <v>0.32500000000000001</v>
      </c>
      <c r="E255" s="35">
        <v>0.44861111111111113</v>
      </c>
      <c r="F255" s="35">
        <v>0.46597222222222223</v>
      </c>
      <c r="G255" s="30">
        <f t="shared" si="70"/>
        <v>1.7361111111111105E-2</v>
      </c>
      <c r="H255" s="30">
        <f t="shared" si="71"/>
        <v>3.4722222222222168E-3</v>
      </c>
      <c r="I255" s="36"/>
      <c r="J255" s="36"/>
      <c r="K255" s="35">
        <f t="shared" si="72"/>
        <v>0</v>
      </c>
      <c r="L255" s="32">
        <v>0.62638888888888888</v>
      </c>
      <c r="M255" s="32">
        <f t="shared" si="73"/>
        <v>0.29791666666666666</v>
      </c>
      <c r="N255" s="23">
        <f>M255-$E$6</f>
        <v>6.2499999999999778E-3</v>
      </c>
      <c r="O255" s="33">
        <f t="shared" si="75"/>
        <v>2.0833333333333037E-2</v>
      </c>
      <c r="P255" s="67">
        <f>P254+N255</f>
        <v>2.0833333333333037E-2</v>
      </c>
      <c r="Q255" s="72">
        <f t="shared" ref="Q255" si="84">SUM(M251:M255)</f>
        <v>1.4791666666666663</v>
      </c>
      <c r="R255" s="72">
        <f t="shared" ref="R255" si="85">Q255/5</f>
        <v>0.29583333333333328</v>
      </c>
    </row>
    <row r="256" spans="2:18" x14ac:dyDescent="0.25">
      <c r="B256" s="46">
        <v>44073</v>
      </c>
      <c r="C256" s="48" t="s">
        <v>21</v>
      </c>
      <c r="D256" s="43"/>
      <c r="E256" s="43"/>
      <c r="F256" s="43"/>
      <c r="G256" s="34"/>
      <c r="H256" s="34"/>
      <c r="I256" s="28"/>
      <c r="J256" s="28"/>
      <c r="K256" s="43"/>
      <c r="L256" s="27"/>
      <c r="M256" s="27"/>
      <c r="N256" s="44"/>
      <c r="O256" s="26"/>
      <c r="P256" s="65"/>
      <c r="Q256" s="71"/>
      <c r="R256" s="71"/>
    </row>
    <row r="257" spans="2:18" x14ac:dyDescent="0.25">
      <c r="B257" s="46">
        <v>44074</v>
      </c>
      <c r="C257" s="48" t="s">
        <v>22</v>
      </c>
      <c r="D257" s="43"/>
      <c r="E257" s="43"/>
      <c r="F257" s="43"/>
      <c r="G257" s="34"/>
      <c r="H257" s="34"/>
      <c r="I257" s="28"/>
      <c r="J257" s="28"/>
      <c r="K257" s="43"/>
      <c r="L257" s="27"/>
      <c r="M257" s="27"/>
      <c r="N257" s="44"/>
      <c r="O257" s="26"/>
      <c r="P257" s="65"/>
      <c r="Q257" s="71"/>
      <c r="R257" s="71"/>
    </row>
    <row r="258" spans="2:18" x14ac:dyDescent="0.25">
      <c r="B258" s="45">
        <v>44075</v>
      </c>
      <c r="C258" s="47" t="s">
        <v>6</v>
      </c>
      <c r="D258" s="35">
        <v>0.32569444444444445</v>
      </c>
      <c r="E258" s="35"/>
      <c r="F258" s="35"/>
      <c r="G258" s="30">
        <f t="shared" ref="G258:G318" si="86">F258-E258</f>
        <v>0</v>
      </c>
      <c r="H258" s="30" t="b">
        <f t="shared" ref="H258:H318" si="87">IF(G258&gt;$I$6,G258-$I$6)</f>
        <v>0</v>
      </c>
      <c r="I258" s="36"/>
      <c r="J258" s="36"/>
      <c r="K258" s="35">
        <f t="shared" ref="K258:K318" si="88">J258-I258</f>
        <v>0</v>
      </c>
      <c r="L258" s="32">
        <v>0.62638888888888888</v>
      </c>
      <c r="M258" s="32">
        <f t="shared" ref="M258:M318" si="89">(L258-D258)-H258-K258</f>
        <v>0.30069444444444443</v>
      </c>
      <c r="N258" s="23">
        <f>M258-$E$6</f>
        <v>9.0277777777777457E-3</v>
      </c>
      <c r="O258" s="33">
        <f t="shared" ref="O258:O286" si="90">O257+N258</f>
        <v>9.0277777777777457E-3</v>
      </c>
      <c r="P258" s="67">
        <f>P257+N258</f>
        <v>9.0277777777777457E-3</v>
      </c>
      <c r="Q258" s="71"/>
      <c r="R258" s="71"/>
    </row>
    <row r="259" spans="2:18" x14ac:dyDescent="0.25">
      <c r="B259" s="45">
        <v>44076</v>
      </c>
      <c r="C259" s="47" t="s">
        <v>7</v>
      </c>
      <c r="D259" s="35">
        <v>0.31527777777777777</v>
      </c>
      <c r="E259" s="35"/>
      <c r="F259" s="35"/>
      <c r="G259" s="30">
        <f t="shared" si="86"/>
        <v>0</v>
      </c>
      <c r="H259" s="30" t="b">
        <f t="shared" si="87"/>
        <v>0</v>
      </c>
      <c r="I259" s="36"/>
      <c r="J259" s="36"/>
      <c r="K259" s="35">
        <f t="shared" si="88"/>
        <v>0</v>
      </c>
      <c r="L259" s="32">
        <v>0.62777777777777777</v>
      </c>
      <c r="M259" s="32">
        <f t="shared" si="89"/>
        <v>0.3125</v>
      </c>
      <c r="N259" s="23">
        <f>M259-$E$6</f>
        <v>2.0833333333333315E-2</v>
      </c>
      <c r="O259" s="33">
        <f t="shared" si="90"/>
        <v>2.9861111111111061E-2</v>
      </c>
      <c r="P259" s="67">
        <f>P258+N259</f>
        <v>2.9861111111111061E-2</v>
      </c>
      <c r="Q259" s="71"/>
      <c r="R259" s="71"/>
    </row>
    <row r="260" spans="2:18" x14ac:dyDescent="0.25">
      <c r="B260" s="45">
        <v>44077</v>
      </c>
      <c r="C260" s="47" t="s">
        <v>23</v>
      </c>
      <c r="D260" s="35">
        <v>0.32916666666666666</v>
      </c>
      <c r="E260" s="35"/>
      <c r="F260" s="35"/>
      <c r="G260" s="30">
        <f t="shared" si="86"/>
        <v>0</v>
      </c>
      <c r="H260" s="30" t="b">
        <f t="shared" si="87"/>
        <v>0</v>
      </c>
      <c r="I260" s="36"/>
      <c r="J260" s="36"/>
      <c r="K260" s="35">
        <f t="shared" si="88"/>
        <v>0</v>
      </c>
      <c r="L260" s="32">
        <v>0.62708333333333333</v>
      </c>
      <c r="M260" s="32">
        <f t="shared" si="89"/>
        <v>0.29791666666666666</v>
      </c>
      <c r="N260" s="23">
        <f>M260-$E$6</f>
        <v>6.2499999999999778E-3</v>
      </c>
      <c r="O260" s="33">
        <f t="shared" si="90"/>
        <v>3.6111111111111038E-2</v>
      </c>
      <c r="P260" s="67">
        <f>P259+N260</f>
        <v>3.6111111111111038E-2</v>
      </c>
      <c r="Q260" s="71"/>
      <c r="R260" s="71"/>
    </row>
    <row r="261" spans="2:18" x14ac:dyDescent="0.25">
      <c r="B261" s="45">
        <v>44078</v>
      </c>
      <c r="C261" s="47" t="s">
        <v>8</v>
      </c>
      <c r="D261" s="35">
        <v>0.33055555555555555</v>
      </c>
      <c r="E261" s="35">
        <v>0.44444444444444442</v>
      </c>
      <c r="F261" s="35">
        <v>0.46180555555555558</v>
      </c>
      <c r="G261" s="30">
        <f t="shared" si="86"/>
        <v>1.736111111111116E-2</v>
      </c>
      <c r="H261" s="30">
        <f t="shared" si="87"/>
        <v>3.4722222222222723E-3</v>
      </c>
      <c r="I261" s="36"/>
      <c r="J261" s="36"/>
      <c r="K261" s="35">
        <f t="shared" si="88"/>
        <v>0</v>
      </c>
      <c r="L261" s="32">
        <v>0.62638888888888888</v>
      </c>
      <c r="M261" s="32">
        <f t="shared" si="89"/>
        <v>0.29236111111111107</v>
      </c>
      <c r="N261" s="23">
        <f>M261-$E$6</f>
        <v>6.9444444444438647E-4</v>
      </c>
      <c r="O261" s="33">
        <f t="shared" si="90"/>
        <v>3.6805555555555425E-2</v>
      </c>
      <c r="P261" s="67">
        <f>P260+N261</f>
        <v>3.6805555555555425E-2</v>
      </c>
      <c r="Q261" s="71"/>
      <c r="R261" s="71"/>
    </row>
    <row r="262" spans="2:18" x14ac:dyDescent="0.25">
      <c r="B262" s="45">
        <v>44079</v>
      </c>
      <c r="C262" s="47" t="s">
        <v>9</v>
      </c>
      <c r="D262" s="35">
        <v>0.3354166666666667</v>
      </c>
      <c r="E262" s="35">
        <v>0.44375000000000003</v>
      </c>
      <c r="F262" s="35">
        <v>0.45902777777777781</v>
      </c>
      <c r="G262" s="30">
        <f t="shared" si="86"/>
        <v>1.5277777777777779E-2</v>
      </c>
      <c r="H262" s="30">
        <f t="shared" si="87"/>
        <v>1.3888888888888909E-3</v>
      </c>
      <c r="I262" s="36"/>
      <c r="J262" s="36"/>
      <c r="K262" s="35">
        <f t="shared" si="88"/>
        <v>0</v>
      </c>
      <c r="L262" s="32">
        <v>0.62708333333333333</v>
      </c>
      <c r="M262" s="32">
        <f t="shared" si="89"/>
        <v>0.29027777777777775</v>
      </c>
      <c r="N262" s="23">
        <f>M262-$E$6</f>
        <v>-1.3888888888889395E-3</v>
      </c>
      <c r="O262" s="33">
        <f t="shared" si="90"/>
        <v>3.5416666666666485E-2</v>
      </c>
      <c r="P262" s="67">
        <f>P261+N262</f>
        <v>3.5416666666666485E-2</v>
      </c>
      <c r="Q262" s="72">
        <f t="shared" ref="Q262" si="91">SUM(M258:M262)</f>
        <v>1.4937499999999999</v>
      </c>
      <c r="R262" s="72">
        <f t="shared" ref="R262" si="92">Q262/5</f>
        <v>0.29874999999999996</v>
      </c>
    </row>
    <row r="263" spans="2:18" x14ac:dyDescent="0.25">
      <c r="B263" s="46">
        <v>44080</v>
      </c>
      <c r="C263" s="48" t="s">
        <v>21</v>
      </c>
      <c r="D263" s="43"/>
      <c r="E263" s="43"/>
      <c r="F263" s="43"/>
      <c r="G263" s="34"/>
      <c r="H263" s="34"/>
      <c r="I263" s="28"/>
      <c r="J263" s="28"/>
      <c r="K263" s="43"/>
      <c r="L263" s="27"/>
      <c r="M263" s="27"/>
      <c r="N263" s="44"/>
      <c r="O263" s="26"/>
      <c r="P263" s="65"/>
      <c r="Q263" s="71"/>
      <c r="R263" s="71"/>
    </row>
    <row r="264" spans="2:18" x14ac:dyDescent="0.25">
      <c r="B264" s="46">
        <v>44081</v>
      </c>
      <c r="C264" s="48" t="s">
        <v>22</v>
      </c>
      <c r="D264" s="43"/>
      <c r="E264" s="43"/>
      <c r="F264" s="43"/>
      <c r="G264" s="34"/>
      <c r="H264" s="34"/>
      <c r="I264" s="28"/>
      <c r="J264" s="28"/>
      <c r="K264" s="43"/>
      <c r="L264" s="27"/>
      <c r="M264" s="27"/>
      <c r="N264" s="44"/>
      <c r="O264" s="26"/>
      <c r="P264" s="65"/>
      <c r="Q264" s="71"/>
      <c r="R264" s="71"/>
    </row>
    <row r="265" spans="2:18" x14ac:dyDescent="0.25">
      <c r="B265" s="45">
        <v>44082</v>
      </c>
      <c r="C265" s="47" t="s">
        <v>6</v>
      </c>
      <c r="D265" s="80"/>
      <c r="E265" s="80"/>
      <c r="F265" s="80"/>
      <c r="G265" s="81">
        <f t="shared" si="86"/>
        <v>0</v>
      </c>
      <c r="H265" s="81" t="b">
        <f t="shared" si="87"/>
        <v>0</v>
      </c>
      <c r="I265" s="82"/>
      <c r="J265" s="82"/>
      <c r="K265" s="80">
        <f t="shared" si="88"/>
        <v>0</v>
      </c>
      <c r="L265" s="83"/>
      <c r="M265" s="83">
        <f t="shared" si="89"/>
        <v>0</v>
      </c>
      <c r="N265" s="84">
        <f>M265-$E$6</f>
        <v>-0.29166666666666669</v>
      </c>
      <c r="O265" s="85">
        <f t="shared" si="90"/>
        <v>-0.29166666666666669</v>
      </c>
      <c r="P265" s="67">
        <f>P264+N265</f>
        <v>-0.29166666666666669</v>
      </c>
      <c r="Q265" s="71"/>
      <c r="R265" s="71"/>
    </row>
    <row r="266" spans="2:18" x14ac:dyDescent="0.25">
      <c r="B266" s="45">
        <v>44083</v>
      </c>
      <c r="C266" s="47" t="s">
        <v>7</v>
      </c>
      <c r="D266" s="80"/>
      <c r="E266" s="80"/>
      <c r="F266" s="80"/>
      <c r="G266" s="81">
        <f t="shared" si="86"/>
        <v>0</v>
      </c>
      <c r="H266" s="81" t="b">
        <f t="shared" si="87"/>
        <v>0</v>
      </c>
      <c r="I266" s="82"/>
      <c r="J266" s="82"/>
      <c r="K266" s="80">
        <f t="shared" si="88"/>
        <v>0</v>
      </c>
      <c r="L266" s="83"/>
      <c r="M266" s="83">
        <f t="shared" si="89"/>
        <v>0</v>
      </c>
      <c r="N266" s="84">
        <f>M266-$E$6</f>
        <v>-0.29166666666666669</v>
      </c>
      <c r="O266" s="85">
        <f t="shared" si="90"/>
        <v>-0.58333333333333337</v>
      </c>
      <c r="P266" s="67">
        <f>P265+N266</f>
        <v>-0.58333333333333337</v>
      </c>
      <c r="Q266" s="71"/>
      <c r="R266" s="71"/>
    </row>
    <row r="267" spans="2:18" x14ac:dyDescent="0.25">
      <c r="B267" s="45">
        <v>44084</v>
      </c>
      <c r="C267" s="47" t="s">
        <v>23</v>
      </c>
      <c r="D267" s="80"/>
      <c r="E267" s="80"/>
      <c r="F267" s="80"/>
      <c r="G267" s="81">
        <f t="shared" si="86"/>
        <v>0</v>
      </c>
      <c r="H267" s="81" t="b">
        <f t="shared" si="87"/>
        <v>0</v>
      </c>
      <c r="I267" s="82"/>
      <c r="J267" s="82"/>
      <c r="K267" s="80">
        <f t="shared" si="88"/>
        <v>0</v>
      </c>
      <c r="L267" s="83"/>
      <c r="M267" s="83">
        <f t="shared" si="89"/>
        <v>0</v>
      </c>
      <c r="N267" s="84">
        <f>M267-$E$6</f>
        <v>-0.29166666666666669</v>
      </c>
      <c r="O267" s="85">
        <f t="shared" si="90"/>
        <v>-0.875</v>
      </c>
      <c r="P267" s="67">
        <f>P266+N267</f>
        <v>-0.875</v>
      </c>
      <c r="Q267" s="71"/>
      <c r="R267" s="71"/>
    </row>
    <row r="268" spans="2:18" x14ac:dyDescent="0.25">
      <c r="B268" s="45">
        <v>44085</v>
      </c>
      <c r="C268" s="47" t="s">
        <v>8</v>
      </c>
      <c r="D268" s="80"/>
      <c r="E268" s="80"/>
      <c r="F268" s="80"/>
      <c r="G268" s="81">
        <f t="shared" si="86"/>
        <v>0</v>
      </c>
      <c r="H268" s="81" t="b">
        <f t="shared" si="87"/>
        <v>0</v>
      </c>
      <c r="I268" s="82"/>
      <c r="J268" s="82"/>
      <c r="K268" s="80">
        <f t="shared" si="88"/>
        <v>0</v>
      </c>
      <c r="L268" s="83"/>
      <c r="M268" s="83">
        <f t="shared" si="89"/>
        <v>0</v>
      </c>
      <c r="N268" s="84">
        <f>M268-$E$6</f>
        <v>-0.29166666666666669</v>
      </c>
      <c r="O268" s="85">
        <f t="shared" si="90"/>
        <v>-1.1666666666666667</v>
      </c>
      <c r="P268" s="67">
        <f>P267+N268</f>
        <v>-1.1666666666666667</v>
      </c>
      <c r="Q268" s="71"/>
      <c r="R268" s="71"/>
    </row>
    <row r="269" spans="2:18" x14ac:dyDescent="0.25">
      <c r="B269" s="45">
        <v>44086</v>
      </c>
      <c r="C269" s="47" t="s">
        <v>9</v>
      </c>
      <c r="D269" s="80"/>
      <c r="E269" s="80"/>
      <c r="F269" s="80"/>
      <c r="G269" s="81">
        <f t="shared" si="86"/>
        <v>0</v>
      </c>
      <c r="H269" s="81" t="b">
        <f t="shared" si="87"/>
        <v>0</v>
      </c>
      <c r="I269" s="82"/>
      <c r="J269" s="82"/>
      <c r="K269" s="80">
        <f t="shared" si="88"/>
        <v>0</v>
      </c>
      <c r="L269" s="83"/>
      <c r="M269" s="83">
        <f t="shared" si="89"/>
        <v>0</v>
      </c>
      <c r="N269" s="84">
        <f>M269-$E$6</f>
        <v>-0.29166666666666669</v>
      </c>
      <c r="O269" s="85">
        <f t="shared" si="90"/>
        <v>-1.4583333333333335</v>
      </c>
      <c r="P269" s="67">
        <f>P268+N269</f>
        <v>-1.4583333333333335</v>
      </c>
      <c r="Q269" s="72">
        <f t="shared" ref="Q269" si="93">SUM(M265:M269)</f>
        <v>0</v>
      </c>
      <c r="R269" s="72">
        <f t="shared" ref="R269" si="94">Q269/5</f>
        <v>0</v>
      </c>
    </row>
    <row r="270" spans="2:18" x14ac:dyDescent="0.25">
      <c r="B270" s="46">
        <v>44087</v>
      </c>
      <c r="C270" s="48" t="s">
        <v>21</v>
      </c>
      <c r="D270" s="43"/>
      <c r="E270" s="43"/>
      <c r="F270" s="43"/>
      <c r="G270" s="34"/>
      <c r="H270" s="34"/>
      <c r="I270" s="28"/>
      <c r="J270" s="28"/>
      <c r="K270" s="43"/>
      <c r="L270" s="27"/>
      <c r="M270" s="27"/>
      <c r="N270" s="44"/>
      <c r="O270" s="26"/>
      <c r="P270" s="65"/>
      <c r="Q270" s="71"/>
      <c r="R270" s="71"/>
    </row>
    <row r="271" spans="2:18" x14ac:dyDescent="0.25">
      <c r="B271" s="46">
        <v>44088</v>
      </c>
      <c r="C271" s="48" t="s">
        <v>22</v>
      </c>
      <c r="D271" s="43"/>
      <c r="E271" s="43"/>
      <c r="F271" s="43"/>
      <c r="G271" s="34"/>
      <c r="H271" s="34"/>
      <c r="I271" s="28"/>
      <c r="J271" s="28"/>
      <c r="K271" s="43"/>
      <c r="L271" s="27"/>
      <c r="M271" s="27"/>
      <c r="N271" s="44"/>
      <c r="O271" s="26"/>
      <c r="P271" s="65"/>
      <c r="Q271" s="71"/>
      <c r="R271" s="71"/>
    </row>
    <row r="272" spans="2:18" x14ac:dyDescent="0.25">
      <c r="B272" s="45">
        <v>44089</v>
      </c>
      <c r="C272" s="47" t="s">
        <v>6</v>
      </c>
      <c r="D272" s="35">
        <v>0.3263888888888889</v>
      </c>
      <c r="E272" s="35">
        <v>0.4513888888888889</v>
      </c>
      <c r="F272" s="35">
        <v>0.46875</v>
      </c>
      <c r="G272" s="30">
        <f t="shared" si="86"/>
        <v>1.7361111111111105E-2</v>
      </c>
      <c r="H272" s="30">
        <f t="shared" si="87"/>
        <v>3.4722222222222168E-3</v>
      </c>
      <c r="I272" s="36"/>
      <c r="J272" s="36"/>
      <c r="K272" s="35">
        <f t="shared" si="88"/>
        <v>0</v>
      </c>
      <c r="L272" s="32">
        <v>0.62847222222222221</v>
      </c>
      <c r="M272" s="32">
        <f t="shared" si="89"/>
        <v>0.2986111111111111</v>
      </c>
      <c r="N272" s="23">
        <f>M272-$E$6</f>
        <v>6.9444444444444198E-3</v>
      </c>
      <c r="O272" s="33">
        <f t="shared" si="90"/>
        <v>6.9444444444444198E-3</v>
      </c>
      <c r="P272" s="67">
        <f>P271+N272</f>
        <v>6.9444444444444198E-3</v>
      </c>
      <c r="Q272" s="71"/>
      <c r="R272" s="71"/>
    </row>
    <row r="273" spans="2:18" x14ac:dyDescent="0.25">
      <c r="B273" s="45">
        <v>44090</v>
      </c>
      <c r="C273" s="47" t="s">
        <v>7</v>
      </c>
      <c r="D273" s="35">
        <v>0.31805555555555554</v>
      </c>
      <c r="E273" s="35">
        <v>0.44166666666666665</v>
      </c>
      <c r="F273" s="35">
        <v>0.46249999999999997</v>
      </c>
      <c r="G273" s="30">
        <f t="shared" si="86"/>
        <v>2.0833333333333315E-2</v>
      </c>
      <c r="H273" s="30">
        <f t="shared" si="87"/>
        <v>6.9444444444444267E-3</v>
      </c>
      <c r="I273" s="36"/>
      <c r="J273" s="36"/>
      <c r="K273" s="35">
        <f t="shared" si="88"/>
        <v>0</v>
      </c>
      <c r="L273" s="32">
        <v>0.62708333333333333</v>
      </c>
      <c r="M273" s="32">
        <f t="shared" si="89"/>
        <v>0.30208333333333337</v>
      </c>
      <c r="N273" s="23">
        <f>M273-$E$6</f>
        <v>1.0416666666666685E-2</v>
      </c>
      <c r="O273" s="33">
        <f t="shared" si="90"/>
        <v>1.7361111111111105E-2</v>
      </c>
      <c r="P273" s="67">
        <f>P272+N273</f>
        <v>1.7361111111111105E-2</v>
      </c>
      <c r="Q273" s="71"/>
      <c r="R273" s="71"/>
    </row>
    <row r="274" spans="2:18" x14ac:dyDescent="0.25">
      <c r="B274" s="45">
        <v>44091</v>
      </c>
      <c r="C274" s="47" t="s">
        <v>23</v>
      </c>
      <c r="D274" s="35">
        <v>0.31875000000000003</v>
      </c>
      <c r="E274" s="35">
        <v>0.44097222222222227</v>
      </c>
      <c r="F274" s="35">
        <v>0.45555555555555555</v>
      </c>
      <c r="G274" s="30">
        <f t="shared" si="86"/>
        <v>1.4583333333333282E-2</v>
      </c>
      <c r="H274" s="30">
        <f t="shared" si="87"/>
        <v>6.9444444444439341E-4</v>
      </c>
      <c r="I274" s="36"/>
      <c r="J274" s="36"/>
      <c r="K274" s="35">
        <f t="shared" si="88"/>
        <v>0</v>
      </c>
      <c r="L274" s="32">
        <v>0.62777777777777777</v>
      </c>
      <c r="M274" s="32">
        <f t="shared" si="89"/>
        <v>0.30833333333333335</v>
      </c>
      <c r="N274" s="23">
        <f>M274-$E$6</f>
        <v>1.6666666666666663E-2</v>
      </c>
      <c r="O274" s="33">
        <f t="shared" si="90"/>
        <v>3.4027777777777768E-2</v>
      </c>
      <c r="P274" s="67">
        <f>P273+N274</f>
        <v>3.4027777777777768E-2</v>
      </c>
      <c r="Q274" s="71"/>
      <c r="R274" s="71"/>
    </row>
    <row r="275" spans="2:18" x14ac:dyDescent="0.25">
      <c r="B275" s="45">
        <v>44092</v>
      </c>
      <c r="C275" s="47" t="s">
        <v>8</v>
      </c>
      <c r="D275" s="35">
        <v>0.3298611111111111</v>
      </c>
      <c r="E275" s="35">
        <v>0.4777777777777778</v>
      </c>
      <c r="F275" s="35">
        <v>0.49791666666666662</v>
      </c>
      <c r="G275" s="30">
        <f t="shared" si="86"/>
        <v>2.0138888888888817E-2</v>
      </c>
      <c r="H275" s="30">
        <f t="shared" si="87"/>
        <v>6.2499999999999292E-3</v>
      </c>
      <c r="I275" s="36"/>
      <c r="J275" s="36"/>
      <c r="K275" s="35">
        <f t="shared" si="88"/>
        <v>0</v>
      </c>
      <c r="L275" s="32">
        <v>0.62777777777777777</v>
      </c>
      <c r="M275" s="32">
        <f t="shared" si="89"/>
        <v>0.29166666666666674</v>
      </c>
      <c r="N275" s="23">
        <f>M275-$E$6</f>
        <v>0</v>
      </c>
      <c r="O275" s="33">
        <f t="shared" si="90"/>
        <v>3.4027777777777768E-2</v>
      </c>
      <c r="P275" s="67">
        <f>P274+N275</f>
        <v>3.4027777777777768E-2</v>
      </c>
      <c r="Q275" s="71"/>
      <c r="R275" s="71"/>
    </row>
    <row r="276" spans="2:18" x14ac:dyDescent="0.25">
      <c r="B276" s="45">
        <v>44093</v>
      </c>
      <c r="C276" s="47" t="s">
        <v>9</v>
      </c>
      <c r="D276" s="35">
        <v>0.33055555555555555</v>
      </c>
      <c r="E276" s="35">
        <v>0.4465277777777778</v>
      </c>
      <c r="F276" s="35">
        <v>0.46319444444444446</v>
      </c>
      <c r="G276" s="30">
        <f t="shared" si="86"/>
        <v>1.6666666666666663E-2</v>
      </c>
      <c r="H276" s="30">
        <f t="shared" si="87"/>
        <v>2.7777777777777748E-3</v>
      </c>
      <c r="I276" s="36"/>
      <c r="J276" s="36"/>
      <c r="K276" s="35">
        <f t="shared" si="88"/>
        <v>0</v>
      </c>
      <c r="L276" s="32">
        <v>0.625</v>
      </c>
      <c r="M276" s="32">
        <f t="shared" si="89"/>
        <v>0.29166666666666669</v>
      </c>
      <c r="N276" s="23">
        <f>M276-$E$6</f>
        <v>0</v>
      </c>
      <c r="O276" s="33">
        <f t="shared" si="90"/>
        <v>3.4027777777777768E-2</v>
      </c>
      <c r="P276" s="67">
        <f>P275+N276</f>
        <v>3.4027777777777768E-2</v>
      </c>
      <c r="Q276" s="72">
        <f t="shared" ref="Q276" si="95">SUM(M272:M276)</f>
        <v>1.4923611111111112</v>
      </c>
      <c r="R276" s="72">
        <f t="shared" ref="R276" si="96">Q276/5</f>
        <v>0.29847222222222225</v>
      </c>
    </row>
    <row r="277" spans="2:18" x14ac:dyDescent="0.25">
      <c r="B277" s="46">
        <v>44094</v>
      </c>
      <c r="C277" s="48" t="s">
        <v>21</v>
      </c>
      <c r="D277" s="43"/>
      <c r="E277" s="43"/>
      <c r="F277" s="43"/>
      <c r="G277" s="34"/>
      <c r="H277" s="34"/>
      <c r="I277" s="28"/>
      <c r="J277" s="28"/>
      <c r="K277" s="43"/>
      <c r="L277" s="27"/>
      <c r="M277" s="27"/>
      <c r="N277" s="44"/>
      <c r="O277" s="26"/>
      <c r="P277" s="65"/>
      <c r="Q277" s="71"/>
      <c r="R277" s="71"/>
    </row>
    <row r="278" spans="2:18" x14ac:dyDescent="0.25">
      <c r="B278" s="46">
        <v>44095</v>
      </c>
      <c r="C278" s="48" t="s">
        <v>22</v>
      </c>
      <c r="D278" s="43"/>
      <c r="E278" s="43"/>
      <c r="F278" s="43"/>
      <c r="G278" s="34"/>
      <c r="H278" s="34"/>
      <c r="I278" s="28"/>
      <c r="J278" s="28"/>
      <c r="K278" s="43"/>
      <c r="L278" s="27"/>
      <c r="M278" s="27"/>
      <c r="N278" s="44"/>
      <c r="O278" s="26"/>
      <c r="P278" s="65"/>
      <c r="Q278" s="71"/>
      <c r="R278" s="71"/>
    </row>
    <row r="279" spans="2:18" x14ac:dyDescent="0.25">
      <c r="B279" s="45">
        <v>44096</v>
      </c>
      <c r="C279" s="47" t="s">
        <v>6</v>
      </c>
      <c r="D279" s="35"/>
      <c r="E279" s="35"/>
      <c r="F279" s="35"/>
      <c r="G279" s="30">
        <f t="shared" si="86"/>
        <v>0</v>
      </c>
      <c r="H279" s="30" t="b">
        <f t="shared" si="87"/>
        <v>0</v>
      </c>
      <c r="I279" s="36"/>
      <c r="J279" s="36"/>
      <c r="K279" s="35">
        <f t="shared" si="88"/>
        <v>0</v>
      </c>
      <c r="L279" s="32"/>
      <c r="M279" s="32">
        <f t="shared" si="89"/>
        <v>0</v>
      </c>
      <c r="N279" s="23">
        <f>M279-$E$6</f>
        <v>-0.29166666666666669</v>
      </c>
      <c r="O279" s="33">
        <f t="shared" si="90"/>
        <v>-0.29166666666666669</v>
      </c>
      <c r="P279" s="67">
        <f>P278+N279</f>
        <v>-0.29166666666666669</v>
      </c>
      <c r="Q279" s="71"/>
      <c r="R279" s="71"/>
    </row>
    <row r="280" spans="2:18" x14ac:dyDescent="0.25">
      <c r="B280" s="45">
        <v>44097</v>
      </c>
      <c r="C280" s="47" t="s">
        <v>7</v>
      </c>
      <c r="D280" s="35"/>
      <c r="E280" s="35"/>
      <c r="F280" s="35"/>
      <c r="G280" s="30">
        <f t="shared" si="86"/>
        <v>0</v>
      </c>
      <c r="H280" s="30" t="b">
        <f t="shared" si="87"/>
        <v>0</v>
      </c>
      <c r="I280" s="36"/>
      <c r="J280" s="36"/>
      <c r="K280" s="35">
        <f t="shared" si="88"/>
        <v>0</v>
      </c>
      <c r="L280" s="32"/>
      <c r="M280" s="32">
        <f t="shared" si="89"/>
        <v>0</v>
      </c>
      <c r="N280" s="23">
        <f>M280-$E$6</f>
        <v>-0.29166666666666669</v>
      </c>
      <c r="O280" s="33">
        <f t="shared" si="90"/>
        <v>-0.58333333333333337</v>
      </c>
      <c r="P280" s="67">
        <f>P279+N280</f>
        <v>-0.58333333333333337</v>
      </c>
      <c r="Q280" s="71"/>
      <c r="R280" s="71"/>
    </row>
    <row r="281" spans="2:18" x14ac:dyDescent="0.25">
      <c r="B281" s="45">
        <v>44098</v>
      </c>
      <c r="C281" s="47" t="s">
        <v>23</v>
      </c>
      <c r="D281" s="35"/>
      <c r="E281" s="35"/>
      <c r="F281" s="35"/>
      <c r="G281" s="30">
        <f t="shared" si="86"/>
        <v>0</v>
      </c>
      <c r="H281" s="30" t="b">
        <f t="shared" si="87"/>
        <v>0</v>
      </c>
      <c r="I281" s="36"/>
      <c r="J281" s="36"/>
      <c r="K281" s="35">
        <f t="shared" si="88"/>
        <v>0</v>
      </c>
      <c r="L281" s="32"/>
      <c r="M281" s="32">
        <f t="shared" si="89"/>
        <v>0</v>
      </c>
      <c r="N281" s="23">
        <f>M281-$E$6</f>
        <v>-0.29166666666666669</v>
      </c>
      <c r="O281" s="33">
        <f t="shared" si="90"/>
        <v>-0.875</v>
      </c>
      <c r="P281" s="67">
        <f>P280+N281</f>
        <v>-0.875</v>
      </c>
      <c r="Q281" s="71"/>
      <c r="R281" s="71"/>
    </row>
    <row r="282" spans="2:18" x14ac:dyDescent="0.25">
      <c r="B282" s="45">
        <v>44099</v>
      </c>
      <c r="C282" s="47" t="s">
        <v>8</v>
      </c>
      <c r="D282" s="35"/>
      <c r="E282" s="35"/>
      <c r="F282" s="35"/>
      <c r="G282" s="30">
        <f t="shared" si="86"/>
        <v>0</v>
      </c>
      <c r="H282" s="30" t="b">
        <f t="shared" si="87"/>
        <v>0</v>
      </c>
      <c r="I282" s="36"/>
      <c r="J282" s="36"/>
      <c r="K282" s="35">
        <f t="shared" si="88"/>
        <v>0</v>
      </c>
      <c r="L282" s="32"/>
      <c r="M282" s="32">
        <f t="shared" si="89"/>
        <v>0</v>
      </c>
      <c r="N282" s="23">
        <f>M282-$E$6</f>
        <v>-0.29166666666666669</v>
      </c>
      <c r="O282" s="33">
        <f t="shared" si="90"/>
        <v>-1.1666666666666667</v>
      </c>
      <c r="P282" s="67">
        <f>P281+N282</f>
        <v>-1.1666666666666667</v>
      </c>
      <c r="Q282" s="71"/>
      <c r="R282" s="71"/>
    </row>
    <row r="283" spans="2:18" x14ac:dyDescent="0.25">
      <c r="B283" s="45">
        <v>44100</v>
      </c>
      <c r="C283" s="47" t="s">
        <v>9</v>
      </c>
      <c r="D283" s="35"/>
      <c r="E283" s="35"/>
      <c r="F283" s="35"/>
      <c r="G283" s="30">
        <f t="shared" si="86"/>
        <v>0</v>
      </c>
      <c r="H283" s="30" t="b">
        <f t="shared" si="87"/>
        <v>0</v>
      </c>
      <c r="I283" s="36"/>
      <c r="J283" s="36"/>
      <c r="K283" s="35">
        <f t="shared" si="88"/>
        <v>0</v>
      </c>
      <c r="L283" s="32"/>
      <c r="M283" s="32">
        <f t="shared" si="89"/>
        <v>0</v>
      </c>
      <c r="N283" s="23">
        <f>M283-$E$6</f>
        <v>-0.29166666666666669</v>
      </c>
      <c r="O283" s="33">
        <f t="shared" si="90"/>
        <v>-1.4583333333333335</v>
      </c>
      <c r="P283" s="67">
        <f>P282+N283</f>
        <v>-1.4583333333333335</v>
      </c>
      <c r="Q283" s="72">
        <f t="shared" ref="Q283" si="97">SUM(M279:M283)</f>
        <v>0</v>
      </c>
      <c r="R283" s="72">
        <f t="shared" ref="R283" si="98">Q283/5</f>
        <v>0</v>
      </c>
    </row>
    <row r="284" spans="2:18" x14ac:dyDescent="0.25">
      <c r="B284" s="46">
        <v>44101</v>
      </c>
      <c r="C284" s="48" t="s">
        <v>21</v>
      </c>
      <c r="D284" s="43"/>
      <c r="E284" s="43"/>
      <c r="F284" s="43"/>
      <c r="G284" s="34"/>
      <c r="H284" s="34"/>
      <c r="I284" s="28"/>
      <c r="J284" s="28"/>
      <c r="K284" s="43"/>
      <c r="L284" s="27"/>
      <c r="M284" s="27"/>
      <c r="N284" s="44"/>
      <c r="O284" s="26"/>
      <c r="P284" s="65"/>
      <c r="Q284" s="71"/>
      <c r="R284" s="71"/>
    </row>
    <row r="285" spans="2:18" x14ac:dyDescent="0.25">
      <c r="B285" s="46">
        <v>44102</v>
      </c>
      <c r="C285" s="48" t="s">
        <v>22</v>
      </c>
      <c r="D285" s="43"/>
      <c r="E285" s="43"/>
      <c r="F285" s="43"/>
      <c r="G285" s="34"/>
      <c r="H285" s="34"/>
      <c r="I285" s="28"/>
      <c r="J285" s="28"/>
      <c r="K285" s="43"/>
      <c r="L285" s="27"/>
      <c r="M285" s="27"/>
      <c r="N285" s="44"/>
      <c r="O285" s="26"/>
      <c r="P285" s="65"/>
      <c r="Q285" s="71"/>
      <c r="R285" s="71"/>
    </row>
    <row r="286" spans="2:18" x14ac:dyDescent="0.25">
      <c r="B286" s="45">
        <v>44103</v>
      </c>
      <c r="C286" s="47" t="s">
        <v>6</v>
      </c>
      <c r="D286" s="35"/>
      <c r="E286" s="35"/>
      <c r="F286" s="35"/>
      <c r="G286" s="30">
        <f t="shared" si="86"/>
        <v>0</v>
      </c>
      <c r="H286" s="30" t="b">
        <f t="shared" si="87"/>
        <v>0</v>
      </c>
      <c r="I286" s="36"/>
      <c r="J286" s="36"/>
      <c r="K286" s="35">
        <f t="shared" si="88"/>
        <v>0</v>
      </c>
      <c r="L286" s="32"/>
      <c r="M286" s="32">
        <f t="shared" si="89"/>
        <v>0</v>
      </c>
      <c r="N286" s="23">
        <f>M286-$E$6</f>
        <v>-0.29166666666666669</v>
      </c>
      <c r="O286" s="33">
        <f t="shared" si="90"/>
        <v>-0.29166666666666669</v>
      </c>
      <c r="P286" s="67">
        <f>P285+N286</f>
        <v>-0.29166666666666669</v>
      </c>
      <c r="Q286" s="71"/>
      <c r="R286" s="71"/>
    </row>
    <row r="287" spans="2:18" x14ac:dyDescent="0.25">
      <c r="B287" s="45">
        <v>44104</v>
      </c>
      <c r="C287" s="47" t="s">
        <v>7</v>
      </c>
      <c r="D287" s="35"/>
      <c r="E287" s="35"/>
      <c r="F287" s="35"/>
      <c r="G287" s="30">
        <f t="shared" si="86"/>
        <v>0</v>
      </c>
      <c r="H287" s="30" t="b">
        <f t="shared" si="87"/>
        <v>0</v>
      </c>
      <c r="I287" s="36"/>
      <c r="J287" s="36"/>
      <c r="K287" s="35">
        <f t="shared" si="88"/>
        <v>0</v>
      </c>
      <c r="L287" s="32"/>
      <c r="M287" s="32">
        <f t="shared" si="89"/>
        <v>0</v>
      </c>
      <c r="N287" s="23">
        <f t="shared" ref="N287:N297" si="99">M287-$D$6</f>
        <v>-0.31875000000000003</v>
      </c>
      <c r="O287" s="33">
        <f>O286+N287</f>
        <v>-0.61041666666666672</v>
      </c>
      <c r="P287" s="67">
        <f>P286+N287</f>
        <v>-0.61041666666666672</v>
      </c>
      <c r="Q287" s="71"/>
      <c r="R287" s="71"/>
    </row>
    <row r="288" spans="2:18" x14ac:dyDescent="0.25">
      <c r="B288" s="45">
        <v>44105</v>
      </c>
      <c r="C288" s="47" t="s">
        <v>23</v>
      </c>
      <c r="D288" s="35"/>
      <c r="E288" s="35"/>
      <c r="F288" s="35"/>
      <c r="G288" s="30">
        <f t="shared" si="86"/>
        <v>0</v>
      </c>
      <c r="H288" s="30" t="b">
        <f t="shared" si="87"/>
        <v>0</v>
      </c>
      <c r="I288" s="36"/>
      <c r="J288" s="36"/>
      <c r="K288" s="35">
        <f t="shared" si="88"/>
        <v>0</v>
      </c>
      <c r="L288" s="32"/>
      <c r="M288" s="32">
        <f t="shared" si="89"/>
        <v>0</v>
      </c>
      <c r="N288" s="23">
        <f t="shared" si="99"/>
        <v>-0.31875000000000003</v>
      </c>
      <c r="O288" s="33">
        <f t="shared" ref="O288:O317" si="100">O287+N288</f>
        <v>-0.9291666666666667</v>
      </c>
      <c r="P288" s="67">
        <f>P287+N288</f>
        <v>-0.9291666666666667</v>
      </c>
      <c r="Q288" s="71"/>
      <c r="R288" s="71"/>
    </row>
    <row r="289" spans="2:18" x14ac:dyDescent="0.25">
      <c r="B289" s="45">
        <v>44106</v>
      </c>
      <c r="C289" s="47" t="s">
        <v>8</v>
      </c>
      <c r="D289" s="35"/>
      <c r="E289" s="35"/>
      <c r="F289" s="35"/>
      <c r="G289" s="30">
        <f t="shared" si="86"/>
        <v>0</v>
      </c>
      <c r="H289" s="30" t="b">
        <f t="shared" si="87"/>
        <v>0</v>
      </c>
      <c r="I289" s="36"/>
      <c r="J289" s="36"/>
      <c r="K289" s="35">
        <f t="shared" si="88"/>
        <v>0</v>
      </c>
      <c r="L289" s="32"/>
      <c r="M289" s="32">
        <f t="shared" si="89"/>
        <v>0</v>
      </c>
      <c r="N289" s="23">
        <f t="shared" si="99"/>
        <v>-0.31875000000000003</v>
      </c>
      <c r="O289" s="33">
        <f t="shared" si="100"/>
        <v>-1.2479166666666668</v>
      </c>
      <c r="P289" s="67">
        <f>P288+N289</f>
        <v>-1.2479166666666668</v>
      </c>
      <c r="Q289" s="71"/>
      <c r="R289" s="71"/>
    </row>
    <row r="290" spans="2:18" x14ac:dyDescent="0.25">
      <c r="B290" s="45">
        <v>44107</v>
      </c>
      <c r="C290" s="47" t="s">
        <v>9</v>
      </c>
      <c r="D290" s="35"/>
      <c r="E290" s="35"/>
      <c r="F290" s="35"/>
      <c r="G290" s="30">
        <f t="shared" si="86"/>
        <v>0</v>
      </c>
      <c r="H290" s="30" t="b">
        <f t="shared" si="87"/>
        <v>0</v>
      </c>
      <c r="I290" s="36"/>
      <c r="J290" s="36"/>
      <c r="K290" s="35">
        <f t="shared" si="88"/>
        <v>0</v>
      </c>
      <c r="L290" s="32"/>
      <c r="M290" s="32">
        <f t="shared" si="89"/>
        <v>0</v>
      </c>
      <c r="N290" s="23">
        <f t="shared" si="99"/>
        <v>-0.31875000000000003</v>
      </c>
      <c r="O290" s="33">
        <f t="shared" si="100"/>
        <v>-1.5666666666666669</v>
      </c>
      <c r="P290" s="67">
        <f>P289+N290</f>
        <v>-1.5666666666666669</v>
      </c>
      <c r="Q290" s="72">
        <f t="shared" ref="Q290" si="101">SUM(M286:M290)</f>
        <v>0</v>
      </c>
      <c r="R290" s="72">
        <f t="shared" ref="R290" si="102">Q290/5</f>
        <v>0</v>
      </c>
    </row>
    <row r="291" spans="2:18" x14ac:dyDescent="0.25">
      <c r="B291" s="46">
        <v>44108</v>
      </c>
      <c r="C291" s="48" t="s">
        <v>21</v>
      </c>
      <c r="D291" s="43"/>
      <c r="E291" s="43"/>
      <c r="F291" s="43"/>
      <c r="G291" s="34"/>
      <c r="H291" s="34"/>
      <c r="I291" s="28"/>
      <c r="J291" s="28"/>
      <c r="K291" s="43"/>
      <c r="L291" s="27"/>
      <c r="M291" s="27"/>
      <c r="N291" s="44"/>
      <c r="O291" s="26"/>
      <c r="P291" s="65"/>
      <c r="Q291" s="71"/>
      <c r="R291" s="71"/>
    </row>
    <row r="292" spans="2:18" x14ac:dyDescent="0.25">
      <c r="B292" s="46">
        <v>44109</v>
      </c>
      <c r="C292" s="48" t="s">
        <v>22</v>
      </c>
      <c r="D292" s="43"/>
      <c r="E292" s="43"/>
      <c r="F292" s="43"/>
      <c r="G292" s="34"/>
      <c r="H292" s="34"/>
      <c r="I292" s="28"/>
      <c r="J292" s="28"/>
      <c r="K292" s="43"/>
      <c r="L292" s="27"/>
      <c r="M292" s="27"/>
      <c r="N292" s="44"/>
      <c r="O292" s="26"/>
      <c r="P292" s="65"/>
      <c r="Q292" s="71"/>
      <c r="R292" s="71"/>
    </row>
    <row r="293" spans="2:18" x14ac:dyDescent="0.25">
      <c r="B293" s="45">
        <v>44110</v>
      </c>
      <c r="C293" s="47" t="s">
        <v>6</v>
      </c>
      <c r="D293" s="35"/>
      <c r="E293" s="35"/>
      <c r="F293" s="35"/>
      <c r="G293" s="30">
        <f t="shared" si="86"/>
        <v>0</v>
      </c>
      <c r="H293" s="30" t="b">
        <f t="shared" si="87"/>
        <v>0</v>
      </c>
      <c r="I293" s="36"/>
      <c r="J293" s="36"/>
      <c r="K293" s="35">
        <f t="shared" si="88"/>
        <v>0</v>
      </c>
      <c r="L293" s="32"/>
      <c r="M293" s="32">
        <f t="shared" si="89"/>
        <v>0</v>
      </c>
      <c r="N293" s="23">
        <f t="shared" si="99"/>
        <v>-0.31875000000000003</v>
      </c>
      <c r="O293" s="33">
        <f t="shared" si="100"/>
        <v>-0.31875000000000003</v>
      </c>
      <c r="P293" s="67">
        <f>P292+N293</f>
        <v>-0.31875000000000003</v>
      </c>
      <c r="Q293" s="71"/>
      <c r="R293" s="71"/>
    </row>
    <row r="294" spans="2:18" x14ac:dyDescent="0.25">
      <c r="B294" s="45">
        <v>44111</v>
      </c>
      <c r="C294" s="47" t="s">
        <v>7</v>
      </c>
      <c r="D294" s="35"/>
      <c r="E294" s="35"/>
      <c r="F294" s="35"/>
      <c r="G294" s="30">
        <f t="shared" si="86"/>
        <v>0</v>
      </c>
      <c r="H294" s="30" t="b">
        <f t="shared" si="87"/>
        <v>0</v>
      </c>
      <c r="I294" s="36"/>
      <c r="J294" s="36"/>
      <c r="K294" s="35">
        <f t="shared" si="88"/>
        <v>0</v>
      </c>
      <c r="L294" s="32"/>
      <c r="M294" s="32">
        <f t="shared" si="89"/>
        <v>0</v>
      </c>
      <c r="N294" s="23">
        <f t="shared" si="99"/>
        <v>-0.31875000000000003</v>
      </c>
      <c r="O294" s="33">
        <f t="shared" si="100"/>
        <v>-0.63750000000000007</v>
      </c>
      <c r="P294" s="67">
        <f>P293+N294</f>
        <v>-0.63750000000000007</v>
      </c>
      <c r="Q294" s="71"/>
      <c r="R294" s="71"/>
    </row>
    <row r="295" spans="2:18" x14ac:dyDescent="0.25">
      <c r="B295" s="45">
        <v>44112</v>
      </c>
      <c r="C295" s="47" t="s">
        <v>23</v>
      </c>
      <c r="D295" s="35"/>
      <c r="E295" s="35"/>
      <c r="F295" s="35"/>
      <c r="G295" s="30">
        <f t="shared" si="86"/>
        <v>0</v>
      </c>
      <c r="H295" s="30" t="b">
        <f t="shared" si="87"/>
        <v>0</v>
      </c>
      <c r="I295" s="36"/>
      <c r="J295" s="36"/>
      <c r="K295" s="35">
        <f t="shared" si="88"/>
        <v>0</v>
      </c>
      <c r="L295" s="32"/>
      <c r="M295" s="32">
        <f t="shared" si="89"/>
        <v>0</v>
      </c>
      <c r="N295" s="23">
        <f t="shared" si="99"/>
        <v>-0.31875000000000003</v>
      </c>
      <c r="O295" s="33">
        <f t="shared" si="100"/>
        <v>-0.95625000000000004</v>
      </c>
      <c r="P295" s="67">
        <f>P294+N295</f>
        <v>-0.95625000000000004</v>
      </c>
      <c r="Q295" s="71"/>
      <c r="R295" s="71"/>
    </row>
    <row r="296" spans="2:18" x14ac:dyDescent="0.25">
      <c r="B296" s="45">
        <v>44113</v>
      </c>
      <c r="C296" s="47" t="s">
        <v>8</v>
      </c>
      <c r="D296" s="35"/>
      <c r="E296" s="35"/>
      <c r="F296" s="35"/>
      <c r="G296" s="30">
        <f t="shared" si="86"/>
        <v>0</v>
      </c>
      <c r="H296" s="30" t="b">
        <f t="shared" si="87"/>
        <v>0</v>
      </c>
      <c r="I296" s="36"/>
      <c r="J296" s="36"/>
      <c r="K296" s="35">
        <f t="shared" si="88"/>
        <v>0</v>
      </c>
      <c r="L296" s="32"/>
      <c r="M296" s="32">
        <f t="shared" si="89"/>
        <v>0</v>
      </c>
      <c r="N296" s="23">
        <f t="shared" si="99"/>
        <v>-0.31875000000000003</v>
      </c>
      <c r="O296" s="33">
        <f t="shared" si="100"/>
        <v>-1.2750000000000001</v>
      </c>
      <c r="P296" s="67">
        <f>P295+N296</f>
        <v>-1.2750000000000001</v>
      </c>
      <c r="Q296" s="71"/>
      <c r="R296" s="71"/>
    </row>
    <row r="297" spans="2:18" x14ac:dyDescent="0.25">
      <c r="B297" s="45">
        <v>44114</v>
      </c>
      <c r="C297" s="47" t="s">
        <v>9</v>
      </c>
      <c r="D297" s="35"/>
      <c r="E297" s="35"/>
      <c r="F297" s="35"/>
      <c r="G297" s="30">
        <f t="shared" si="86"/>
        <v>0</v>
      </c>
      <c r="H297" s="30" t="b">
        <f t="shared" si="87"/>
        <v>0</v>
      </c>
      <c r="I297" s="36"/>
      <c r="J297" s="36"/>
      <c r="K297" s="35">
        <f t="shared" si="88"/>
        <v>0</v>
      </c>
      <c r="L297" s="32"/>
      <c r="M297" s="32">
        <f t="shared" si="89"/>
        <v>0</v>
      </c>
      <c r="N297" s="23">
        <f t="shared" si="99"/>
        <v>-0.31875000000000003</v>
      </c>
      <c r="O297" s="33">
        <f t="shared" si="100"/>
        <v>-1.5937500000000002</v>
      </c>
      <c r="P297" s="67">
        <f>P296+N297</f>
        <v>-1.5937500000000002</v>
      </c>
      <c r="Q297" s="72">
        <f t="shared" ref="Q297" si="103">SUM(M293:M297)</f>
        <v>0</v>
      </c>
      <c r="R297" s="72">
        <f t="shared" ref="R297" si="104">Q297/5</f>
        <v>0</v>
      </c>
    </row>
    <row r="298" spans="2:18" x14ac:dyDescent="0.25">
      <c r="B298" s="46">
        <v>44115</v>
      </c>
      <c r="C298" s="48" t="s">
        <v>21</v>
      </c>
      <c r="D298" s="43"/>
      <c r="E298" s="43"/>
      <c r="F298" s="43"/>
      <c r="G298" s="34"/>
      <c r="H298" s="34"/>
      <c r="I298" s="28"/>
      <c r="J298" s="28"/>
      <c r="K298" s="43"/>
      <c r="L298" s="27"/>
      <c r="M298" s="27"/>
      <c r="N298" s="44"/>
      <c r="O298" s="26"/>
      <c r="P298" s="65"/>
      <c r="Q298" s="71"/>
      <c r="R298" s="71"/>
    </row>
    <row r="299" spans="2:18" x14ac:dyDescent="0.25">
      <c r="B299" s="46">
        <v>44116</v>
      </c>
      <c r="C299" s="48" t="s">
        <v>22</v>
      </c>
      <c r="D299" s="43"/>
      <c r="E299" s="43"/>
      <c r="F299" s="43"/>
      <c r="G299" s="34"/>
      <c r="H299" s="34"/>
      <c r="I299" s="28"/>
      <c r="J299" s="28"/>
      <c r="K299" s="43"/>
      <c r="L299" s="27"/>
      <c r="M299" s="27"/>
      <c r="N299" s="44"/>
      <c r="O299" s="26"/>
      <c r="P299" s="65"/>
      <c r="Q299" s="71"/>
      <c r="R299" s="71"/>
    </row>
    <row r="300" spans="2:18" x14ac:dyDescent="0.25">
      <c r="B300" s="45">
        <v>44117</v>
      </c>
      <c r="C300" s="47" t="s">
        <v>6</v>
      </c>
      <c r="D300" s="35"/>
      <c r="E300" s="35"/>
      <c r="F300" s="35"/>
      <c r="G300" s="30">
        <f t="shared" si="86"/>
        <v>0</v>
      </c>
      <c r="H300" s="30" t="b">
        <f t="shared" si="87"/>
        <v>0</v>
      </c>
      <c r="I300" s="36"/>
      <c r="J300" s="36"/>
      <c r="K300" s="35">
        <f t="shared" si="88"/>
        <v>0</v>
      </c>
      <c r="L300" s="32"/>
      <c r="M300" s="32">
        <f t="shared" si="89"/>
        <v>0</v>
      </c>
      <c r="N300" s="23">
        <f t="shared" ref="N300:N363" si="105">M300-$D$6</f>
        <v>-0.31875000000000003</v>
      </c>
      <c r="O300" s="33">
        <f t="shared" si="100"/>
        <v>-0.31875000000000003</v>
      </c>
      <c r="P300" s="67">
        <f>P299+N300</f>
        <v>-0.31875000000000003</v>
      </c>
      <c r="Q300" s="71"/>
      <c r="R300" s="71"/>
    </row>
    <row r="301" spans="2:18" x14ac:dyDescent="0.25">
      <c r="B301" s="45">
        <v>44118</v>
      </c>
      <c r="C301" s="47" t="s">
        <v>7</v>
      </c>
      <c r="D301" s="35"/>
      <c r="E301" s="35"/>
      <c r="F301" s="35"/>
      <c r="G301" s="30">
        <f t="shared" si="86"/>
        <v>0</v>
      </c>
      <c r="H301" s="30" t="b">
        <f t="shared" si="87"/>
        <v>0</v>
      </c>
      <c r="I301" s="36"/>
      <c r="J301" s="36"/>
      <c r="K301" s="35">
        <f t="shared" si="88"/>
        <v>0</v>
      </c>
      <c r="L301" s="32"/>
      <c r="M301" s="32">
        <f t="shared" si="89"/>
        <v>0</v>
      </c>
      <c r="N301" s="23">
        <f t="shared" si="105"/>
        <v>-0.31875000000000003</v>
      </c>
      <c r="O301" s="33">
        <f t="shared" si="100"/>
        <v>-0.63750000000000007</v>
      </c>
      <c r="P301" s="67">
        <f>P300+N301</f>
        <v>-0.63750000000000007</v>
      </c>
      <c r="Q301" s="71"/>
      <c r="R301" s="71"/>
    </row>
    <row r="302" spans="2:18" x14ac:dyDescent="0.25">
      <c r="B302" s="45">
        <v>44119</v>
      </c>
      <c r="C302" s="47" t="s">
        <v>23</v>
      </c>
      <c r="D302" s="35"/>
      <c r="E302" s="35"/>
      <c r="F302" s="35"/>
      <c r="G302" s="30">
        <f t="shared" si="86"/>
        <v>0</v>
      </c>
      <c r="H302" s="30" t="b">
        <f t="shared" si="87"/>
        <v>0</v>
      </c>
      <c r="I302" s="36"/>
      <c r="J302" s="36"/>
      <c r="K302" s="35">
        <f t="shared" si="88"/>
        <v>0</v>
      </c>
      <c r="L302" s="32"/>
      <c r="M302" s="32">
        <f t="shared" si="89"/>
        <v>0</v>
      </c>
      <c r="N302" s="23">
        <f t="shared" si="105"/>
        <v>-0.31875000000000003</v>
      </c>
      <c r="O302" s="33">
        <f t="shared" si="100"/>
        <v>-0.95625000000000004</v>
      </c>
      <c r="P302" s="67">
        <f>P301+N302</f>
        <v>-0.95625000000000004</v>
      </c>
      <c r="Q302" s="71"/>
      <c r="R302" s="71"/>
    </row>
    <row r="303" spans="2:18" x14ac:dyDescent="0.25">
      <c r="B303" s="45">
        <v>44120</v>
      </c>
      <c r="C303" s="47" t="s">
        <v>8</v>
      </c>
      <c r="D303" s="35"/>
      <c r="E303" s="35"/>
      <c r="F303" s="35"/>
      <c r="G303" s="30">
        <f t="shared" si="86"/>
        <v>0</v>
      </c>
      <c r="H303" s="30" t="b">
        <f t="shared" si="87"/>
        <v>0</v>
      </c>
      <c r="I303" s="36"/>
      <c r="J303" s="36"/>
      <c r="K303" s="35">
        <f t="shared" si="88"/>
        <v>0</v>
      </c>
      <c r="L303" s="32"/>
      <c r="M303" s="32">
        <f t="shared" si="89"/>
        <v>0</v>
      </c>
      <c r="N303" s="23">
        <f t="shared" si="105"/>
        <v>-0.31875000000000003</v>
      </c>
      <c r="O303" s="33">
        <f t="shared" si="100"/>
        <v>-1.2750000000000001</v>
      </c>
      <c r="P303" s="67">
        <f>P302+N303</f>
        <v>-1.2750000000000001</v>
      </c>
      <c r="Q303" s="71"/>
      <c r="R303" s="71"/>
    </row>
    <row r="304" spans="2:18" x14ac:dyDescent="0.25">
      <c r="B304" s="45">
        <v>44121</v>
      </c>
      <c r="C304" s="47" t="s">
        <v>9</v>
      </c>
      <c r="D304" s="35"/>
      <c r="E304" s="35"/>
      <c r="F304" s="35"/>
      <c r="G304" s="30">
        <f t="shared" si="86"/>
        <v>0</v>
      </c>
      <c r="H304" s="30" t="b">
        <f t="shared" si="87"/>
        <v>0</v>
      </c>
      <c r="I304" s="36"/>
      <c r="J304" s="36"/>
      <c r="K304" s="35">
        <f t="shared" si="88"/>
        <v>0</v>
      </c>
      <c r="L304" s="32"/>
      <c r="M304" s="32">
        <f t="shared" si="89"/>
        <v>0</v>
      </c>
      <c r="N304" s="23">
        <f t="shared" si="105"/>
        <v>-0.31875000000000003</v>
      </c>
      <c r="O304" s="33">
        <f t="shared" si="100"/>
        <v>-1.5937500000000002</v>
      </c>
      <c r="P304" s="67">
        <f>P303+N304</f>
        <v>-1.5937500000000002</v>
      </c>
      <c r="Q304" s="72">
        <f t="shared" ref="Q304" si="106">SUM(M300:M304)</f>
        <v>0</v>
      </c>
      <c r="R304" s="72">
        <f t="shared" ref="R304" si="107">Q304/5</f>
        <v>0</v>
      </c>
    </row>
    <row r="305" spans="2:18" x14ac:dyDescent="0.25">
      <c r="B305" s="46">
        <v>44122</v>
      </c>
      <c r="C305" s="48" t="s">
        <v>21</v>
      </c>
      <c r="D305" s="43"/>
      <c r="E305" s="43"/>
      <c r="F305" s="43"/>
      <c r="G305" s="34"/>
      <c r="H305" s="34"/>
      <c r="I305" s="28"/>
      <c r="J305" s="28"/>
      <c r="K305" s="43"/>
      <c r="L305" s="27"/>
      <c r="M305" s="27"/>
      <c r="N305" s="44"/>
      <c r="O305" s="26"/>
      <c r="P305" s="65"/>
      <c r="Q305" s="71"/>
      <c r="R305" s="71"/>
    </row>
    <row r="306" spans="2:18" x14ac:dyDescent="0.25">
      <c r="B306" s="46">
        <v>44123</v>
      </c>
      <c r="C306" s="48" t="s">
        <v>22</v>
      </c>
      <c r="D306" s="43"/>
      <c r="E306" s="43"/>
      <c r="F306" s="43"/>
      <c r="G306" s="34"/>
      <c r="H306" s="34"/>
      <c r="I306" s="28"/>
      <c r="J306" s="28"/>
      <c r="K306" s="43"/>
      <c r="L306" s="27"/>
      <c r="M306" s="27"/>
      <c r="N306" s="44"/>
      <c r="O306" s="26"/>
      <c r="P306" s="65"/>
      <c r="Q306" s="71"/>
      <c r="R306" s="71"/>
    </row>
    <row r="307" spans="2:18" x14ac:dyDescent="0.25">
      <c r="B307" s="45">
        <v>44124</v>
      </c>
      <c r="C307" s="47" t="s">
        <v>6</v>
      </c>
      <c r="D307" s="35"/>
      <c r="E307" s="35"/>
      <c r="F307" s="35"/>
      <c r="G307" s="30">
        <f t="shared" si="86"/>
        <v>0</v>
      </c>
      <c r="H307" s="30" t="b">
        <f t="shared" si="87"/>
        <v>0</v>
      </c>
      <c r="I307" s="36"/>
      <c r="J307" s="36"/>
      <c r="K307" s="35">
        <f t="shared" si="88"/>
        <v>0</v>
      </c>
      <c r="L307" s="32"/>
      <c r="M307" s="32">
        <f t="shared" si="89"/>
        <v>0</v>
      </c>
      <c r="N307" s="23">
        <f t="shared" si="105"/>
        <v>-0.31875000000000003</v>
      </c>
      <c r="O307" s="33">
        <f t="shared" si="100"/>
        <v>-0.31875000000000003</v>
      </c>
      <c r="P307" s="67">
        <f>P306+N307</f>
        <v>-0.31875000000000003</v>
      </c>
      <c r="Q307" s="71"/>
      <c r="R307" s="71"/>
    </row>
    <row r="308" spans="2:18" x14ac:dyDescent="0.25">
      <c r="B308" s="45">
        <v>44125</v>
      </c>
      <c r="C308" s="47" t="s">
        <v>7</v>
      </c>
      <c r="D308" s="35"/>
      <c r="E308" s="35"/>
      <c r="F308" s="35"/>
      <c r="G308" s="30">
        <f t="shared" si="86"/>
        <v>0</v>
      </c>
      <c r="H308" s="30" t="b">
        <f t="shared" si="87"/>
        <v>0</v>
      </c>
      <c r="I308" s="36"/>
      <c r="J308" s="36"/>
      <c r="K308" s="35">
        <f t="shared" si="88"/>
        <v>0</v>
      </c>
      <c r="L308" s="32"/>
      <c r="M308" s="32">
        <f t="shared" si="89"/>
        <v>0</v>
      </c>
      <c r="N308" s="23">
        <f t="shared" si="105"/>
        <v>-0.31875000000000003</v>
      </c>
      <c r="O308" s="33">
        <f t="shared" si="100"/>
        <v>-0.63750000000000007</v>
      </c>
      <c r="P308" s="67">
        <f>P307+N308</f>
        <v>-0.63750000000000007</v>
      </c>
      <c r="Q308" s="71"/>
      <c r="R308" s="71"/>
    </row>
    <row r="309" spans="2:18" x14ac:dyDescent="0.25">
      <c r="B309" s="45">
        <v>44126</v>
      </c>
      <c r="C309" s="47" t="s">
        <v>23</v>
      </c>
      <c r="D309" s="35"/>
      <c r="E309" s="35"/>
      <c r="F309" s="35"/>
      <c r="G309" s="30">
        <f t="shared" si="86"/>
        <v>0</v>
      </c>
      <c r="H309" s="30" t="b">
        <f t="shared" si="87"/>
        <v>0</v>
      </c>
      <c r="I309" s="36"/>
      <c r="J309" s="36"/>
      <c r="K309" s="35">
        <f t="shared" si="88"/>
        <v>0</v>
      </c>
      <c r="L309" s="32"/>
      <c r="M309" s="32">
        <f t="shared" si="89"/>
        <v>0</v>
      </c>
      <c r="N309" s="23">
        <f t="shared" si="105"/>
        <v>-0.31875000000000003</v>
      </c>
      <c r="O309" s="33">
        <f t="shared" si="100"/>
        <v>-0.95625000000000004</v>
      </c>
      <c r="P309" s="67">
        <f>P308+N309</f>
        <v>-0.95625000000000004</v>
      </c>
      <c r="Q309" s="71"/>
      <c r="R309" s="71"/>
    </row>
    <row r="310" spans="2:18" x14ac:dyDescent="0.25">
      <c r="B310" s="45">
        <v>44127</v>
      </c>
      <c r="C310" s="47" t="s">
        <v>8</v>
      </c>
      <c r="D310" s="35"/>
      <c r="E310" s="35"/>
      <c r="F310" s="35"/>
      <c r="G310" s="30">
        <f t="shared" si="86"/>
        <v>0</v>
      </c>
      <c r="H310" s="30" t="b">
        <f t="shared" si="87"/>
        <v>0</v>
      </c>
      <c r="I310" s="36"/>
      <c r="J310" s="36"/>
      <c r="K310" s="35">
        <f t="shared" si="88"/>
        <v>0</v>
      </c>
      <c r="L310" s="32"/>
      <c r="M310" s="32">
        <f t="shared" si="89"/>
        <v>0</v>
      </c>
      <c r="N310" s="23">
        <f t="shared" si="105"/>
        <v>-0.31875000000000003</v>
      </c>
      <c r="O310" s="33">
        <f t="shared" si="100"/>
        <v>-1.2750000000000001</v>
      </c>
      <c r="P310" s="67">
        <f>P309+N310</f>
        <v>-1.2750000000000001</v>
      </c>
      <c r="Q310" s="71"/>
      <c r="R310" s="71"/>
    </row>
    <row r="311" spans="2:18" x14ac:dyDescent="0.25">
      <c r="B311" s="45">
        <v>44128</v>
      </c>
      <c r="C311" s="47" t="s">
        <v>9</v>
      </c>
      <c r="D311" s="35"/>
      <c r="E311" s="35"/>
      <c r="F311" s="35"/>
      <c r="G311" s="30">
        <f t="shared" si="86"/>
        <v>0</v>
      </c>
      <c r="H311" s="30" t="b">
        <f t="shared" si="87"/>
        <v>0</v>
      </c>
      <c r="I311" s="36"/>
      <c r="J311" s="36"/>
      <c r="K311" s="35">
        <f t="shared" si="88"/>
        <v>0</v>
      </c>
      <c r="L311" s="32"/>
      <c r="M311" s="32">
        <f t="shared" si="89"/>
        <v>0</v>
      </c>
      <c r="N311" s="23">
        <f t="shared" si="105"/>
        <v>-0.31875000000000003</v>
      </c>
      <c r="O311" s="33">
        <f t="shared" si="100"/>
        <v>-1.5937500000000002</v>
      </c>
      <c r="P311" s="67">
        <f>P310+N311</f>
        <v>-1.5937500000000002</v>
      </c>
      <c r="Q311" s="72">
        <f t="shared" ref="Q311" si="108">SUM(M307:M311)</f>
        <v>0</v>
      </c>
      <c r="R311" s="72">
        <f t="shared" ref="R311" si="109">Q311/5</f>
        <v>0</v>
      </c>
    </row>
    <row r="312" spans="2:18" x14ac:dyDescent="0.25">
      <c r="B312" s="46">
        <v>44129</v>
      </c>
      <c r="C312" s="48" t="s">
        <v>21</v>
      </c>
      <c r="D312" s="43"/>
      <c r="E312" s="43"/>
      <c r="F312" s="43"/>
      <c r="G312" s="34"/>
      <c r="H312" s="34"/>
      <c r="I312" s="28"/>
      <c r="J312" s="28"/>
      <c r="K312" s="43"/>
      <c r="L312" s="27"/>
      <c r="M312" s="27"/>
      <c r="N312" s="44"/>
      <c r="O312" s="26"/>
      <c r="P312" s="65"/>
      <c r="Q312" s="71"/>
      <c r="R312" s="71"/>
    </row>
    <row r="313" spans="2:18" x14ac:dyDescent="0.25">
      <c r="B313" s="46">
        <v>44130</v>
      </c>
      <c r="C313" s="48" t="s">
        <v>22</v>
      </c>
      <c r="D313" s="43"/>
      <c r="E313" s="43"/>
      <c r="F313" s="43"/>
      <c r="G313" s="34"/>
      <c r="H313" s="34"/>
      <c r="I313" s="28"/>
      <c r="J313" s="28"/>
      <c r="K313" s="43"/>
      <c r="L313" s="27"/>
      <c r="M313" s="27"/>
      <c r="N313" s="44"/>
      <c r="O313" s="26"/>
      <c r="P313" s="65"/>
      <c r="Q313" s="71"/>
      <c r="R313" s="71"/>
    </row>
    <row r="314" spans="2:18" x14ac:dyDescent="0.25">
      <c r="B314" s="45">
        <v>44131</v>
      </c>
      <c r="C314" s="47" t="s">
        <v>6</v>
      </c>
      <c r="D314" s="35">
        <v>0.33958333333333335</v>
      </c>
      <c r="E314" s="35"/>
      <c r="F314" s="35"/>
      <c r="G314" s="30">
        <f t="shared" si="86"/>
        <v>0</v>
      </c>
      <c r="H314" s="30" t="b">
        <f t="shared" si="87"/>
        <v>0</v>
      </c>
      <c r="I314" s="35"/>
      <c r="J314" s="36"/>
      <c r="K314" s="35">
        <f t="shared" si="88"/>
        <v>0</v>
      </c>
      <c r="L314" s="32">
        <v>0.58124999999999993</v>
      </c>
      <c r="M314" s="32">
        <f t="shared" si="89"/>
        <v>0.24166666666666659</v>
      </c>
      <c r="N314" s="23">
        <f t="shared" si="105"/>
        <v>-7.7083333333333448E-2</v>
      </c>
      <c r="O314" s="33">
        <f t="shared" si="100"/>
        <v>-7.7083333333333448E-2</v>
      </c>
      <c r="P314" s="67">
        <f>P313+N314</f>
        <v>-7.7083333333333448E-2</v>
      </c>
      <c r="Q314" s="71"/>
      <c r="R314" s="71"/>
    </row>
    <row r="315" spans="2:18" x14ac:dyDescent="0.25">
      <c r="B315" s="45">
        <v>44132</v>
      </c>
      <c r="C315" s="47" t="s">
        <v>7</v>
      </c>
      <c r="D315" s="35"/>
      <c r="E315" s="35"/>
      <c r="F315" s="35"/>
      <c r="G315" s="30">
        <f t="shared" si="86"/>
        <v>0</v>
      </c>
      <c r="H315" s="30" t="b">
        <f t="shared" si="87"/>
        <v>0</v>
      </c>
      <c r="I315" s="36"/>
      <c r="J315" s="36"/>
      <c r="K315" s="35">
        <f t="shared" si="88"/>
        <v>0</v>
      </c>
      <c r="L315" s="32"/>
      <c r="M315" s="32">
        <f t="shared" si="89"/>
        <v>0</v>
      </c>
      <c r="N315" s="23">
        <f t="shared" si="105"/>
        <v>-0.31875000000000003</v>
      </c>
      <c r="O315" s="33">
        <f t="shared" si="100"/>
        <v>-0.39583333333333348</v>
      </c>
      <c r="P315" s="67">
        <f>P314+N315</f>
        <v>-0.39583333333333348</v>
      </c>
      <c r="Q315" s="71"/>
      <c r="R315" s="71"/>
    </row>
    <row r="316" spans="2:18" x14ac:dyDescent="0.25">
      <c r="B316" s="45">
        <v>44133</v>
      </c>
      <c r="C316" s="47" t="s">
        <v>23</v>
      </c>
      <c r="D316" s="35"/>
      <c r="E316" s="35"/>
      <c r="F316" s="35"/>
      <c r="G316" s="30">
        <f t="shared" si="86"/>
        <v>0</v>
      </c>
      <c r="H316" s="30" t="b">
        <f t="shared" si="87"/>
        <v>0</v>
      </c>
      <c r="I316" s="36"/>
      <c r="J316" s="36"/>
      <c r="K316" s="35">
        <f t="shared" si="88"/>
        <v>0</v>
      </c>
      <c r="L316" s="32"/>
      <c r="M316" s="32">
        <f t="shared" si="89"/>
        <v>0</v>
      </c>
      <c r="N316" s="23">
        <f t="shared" si="105"/>
        <v>-0.31875000000000003</v>
      </c>
      <c r="O316" s="33">
        <f t="shared" si="100"/>
        <v>-0.71458333333333357</v>
      </c>
      <c r="P316" s="67">
        <f>P315+N316</f>
        <v>-0.71458333333333357</v>
      </c>
      <c r="Q316" s="71"/>
      <c r="R316" s="71"/>
    </row>
    <row r="317" spans="2:18" x14ac:dyDescent="0.25">
      <c r="B317" s="45">
        <v>44134</v>
      </c>
      <c r="C317" s="47" t="s">
        <v>8</v>
      </c>
      <c r="D317" s="35"/>
      <c r="E317" s="35"/>
      <c r="F317" s="35"/>
      <c r="G317" s="30">
        <f t="shared" si="86"/>
        <v>0</v>
      </c>
      <c r="H317" s="30" t="b">
        <f t="shared" si="87"/>
        <v>0</v>
      </c>
      <c r="I317" s="36"/>
      <c r="J317" s="36"/>
      <c r="K317" s="35">
        <f t="shared" si="88"/>
        <v>0</v>
      </c>
      <c r="L317" s="32"/>
      <c r="M317" s="32">
        <f t="shared" si="89"/>
        <v>0</v>
      </c>
      <c r="N317" s="23">
        <f t="shared" si="105"/>
        <v>-0.31875000000000003</v>
      </c>
      <c r="O317" s="33">
        <f t="shared" si="100"/>
        <v>-1.0333333333333337</v>
      </c>
      <c r="P317" s="67">
        <f>P316+N317</f>
        <v>-1.0333333333333337</v>
      </c>
      <c r="Q317" s="71"/>
      <c r="R317" s="71"/>
    </row>
    <row r="318" spans="2:18" x14ac:dyDescent="0.25">
      <c r="B318" s="45">
        <v>44135</v>
      </c>
      <c r="C318" s="47" t="s">
        <v>9</v>
      </c>
      <c r="D318" s="35"/>
      <c r="E318" s="35"/>
      <c r="F318" s="35"/>
      <c r="G318" s="30">
        <f t="shared" si="86"/>
        <v>0</v>
      </c>
      <c r="H318" s="30" t="b">
        <f t="shared" si="87"/>
        <v>0</v>
      </c>
      <c r="I318" s="36"/>
      <c r="J318" s="36"/>
      <c r="K318" s="35">
        <f t="shared" si="88"/>
        <v>0</v>
      </c>
      <c r="L318" s="32"/>
      <c r="M318" s="32">
        <f t="shared" si="89"/>
        <v>0</v>
      </c>
      <c r="N318" s="23">
        <f t="shared" si="105"/>
        <v>-0.31875000000000003</v>
      </c>
      <c r="O318" s="33">
        <f>O317+N318</f>
        <v>-1.3520833333333337</v>
      </c>
      <c r="P318" s="67">
        <f>P317+N318</f>
        <v>-1.3520833333333337</v>
      </c>
      <c r="Q318" s="72">
        <f t="shared" ref="Q318" si="110">SUM(M314:M318)</f>
        <v>0.24166666666666659</v>
      </c>
      <c r="R318" s="72">
        <f t="shared" ref="R318" si="111">Q318/5</f>
        <v>4.8333333333333318E-2</v>
      </c>
    </row>
    <row r="319" spans="2:18" x14ac:dyDescent="0.25">
      <c r="B319" s="46">
        <v>44136</v>
      </c>
      <c r="C319" s="48" t="s">
        <v>21</v>
      </c>
      <c r="D319" s="43"/>
      <c r="E319" s="43"/>
      <c r="F319" s="43"/>
      <c r="G319" s="34"/>
      <c r="H319" s="34"/>
      <c r="I319" s="28"/>
      <c r="J319" s="28"/>
      <c r="K319" s="43"/>
      <c r="L319" s="27"/>
      <c r="M319" s="27"/>
      <c r="N319" s="44"/>
      <c r="O319" s="26"/>
      <c r="P319" s="65"/>
      <c r="Q319" s="71"/>
      <c r="R319" s="71"/>
    </row>
    <row r="320" spans="2:18" x14ac:dyDescent="0.25">
      <c r="B320" s="46">
        <v>44137</v>
      </c>
      <c r="C320" s="48" t="s">
        <v>22</v>
      </c>
      <c r="D320" s="43"/>
      <c r="E320" s="43"/>
      <c r="F320" s="43"/>
      <c r="G320" s="34"/>
      <c r="H320" s="34"/>
      <c r="I320" s="28"/>
      <c r="J320" s="28"/>
      <c r="K320" s="43"/>
      <c r="L320" s="27"/>
      <c r="M320" s="27"/>
      <c r="N320" s="44"/>
      <c r="O320" s="26"/>
      <c r="P320" s="65"/>
      <c r="Q320" s="71"/>
      <c r="R320" s="71"/>
    </row>
    <row r="321" spans="2:18" x14ac:dyDescent="0.25">
      <c r="B321" s="45">
        <v>44138</v>
      </c>
      <c r="C321" s="47" t="s">
        <v>6</v>
      </c>
      <c r="D321" s="35">
        <v>0.31458333333333333</v>
      </c>
      <c r="E321" s="35">
        <v>0.43958333333333338</v>
      </c>
      <c r="F321" s="35">
        <v>0.45763888888888887</v>
      </c>
      <c r="G321" s="30">
        <f t="shared" ref="G321:G346" si="112">F321-E321</f>
        <v>1.8055555555555491E-2</v>
      </c>
      <c r="H321" s="30">
        <f t="shared" ref="H321:H346" si="113">IF(G321&gt;$I$6,G321-$I$6)</f>
        <v>4.1666666666666033E-3</v>
      </c>
      <c r="I321" s="36"/>
      <c r="J321" s="36"/>
      <c r="K321" s="35">
        <f t="shared" ref="K321:K346" si="114">J321-I321</f>
        <v>0</v>
      </c>
      <c r="L321" s="32">
        <v>0.67152777777777783</v>
      </c>
      <c r="M321" s="32">
        <f t="shared" ref="M321:M346" si="115">(L321-D321)-H321-K321</f>
        <v>0.35277777777777791</v>
      </c>
      <c r="N321" s="23">
        <f t="shared" si="105"/>
        <v>3.4027777777777879E-2</v>
      </c>
      <c r="O321" s="33">
        <f t="shared" ref="O321:O346" si="116">O320+N321</f>
        <v>3.4027777777777879E-2</v>
      </c>
      <c r="P321" s="67">
        <f>P320+N321</f>
        <v>3.4027777777777879E-2</v>
      </c>
      <c r="Q321" s="71"/>
      <c r="R321" s="71"/>
    </row>
    <row r="322" spans="2:18" x14ac:dyDescent="0.25">
      <c r="B322" s="45">
        <v>44139</v>
      </c>
      <c r="C322" s="47" t="s">
        <v>7</v>
      </c>
      <c r="D322" s="35">
        <v>0.32569444444444445</v>
      </c>
      <c r="E322" s="35"/>
      <c r="F322" s="35"/>
      <c r="G322" s="30">
        <f t="shared" si="112"/>
        <v>0</v>
      </c>
      <c r="H322" s="30" t="b">
        <f t="shared" si="113"/>
        <v>0</v>
      </c>
      <c r="I322" s="36"/>
      <c r="J322" s="36"/>
      <c r="K322" s="35">
        <f t="shared" si="114"/>
        <v>0</v>
      </c>
      <c r="L322" s="32">
        <v>0.66597222222222219</v>
      </c>
      <c r="M322" s="32">
        <f t="shared" si="115"/>
        <v>0.34027777777777773</v>
      </c>
      <c r="N322" s="23">
        <f t="shared" si="105"/>
        <v>2.1527777777777701E-2</v>
      </c>
      <c r="O322" s="33">
        <f t="shared" si="116"/>
        <v>5.555555555555558E-2</v>
      </c>
      <c r="P322" s="67">
        <f>P321+N322</f>
        <v>5.555555555555558E-2</v>
      </c>
      <c r="Q322" s="71"/>
      <c r="R322" s="71"/>
    </row>
    <row r="323" spans="2:18" x14ac:dyDescent="0.25">
      <c r="B323" s="45">
        <v>44140</v>
      </c>
      <c r="C323" s="47" t="s">
        <v>23</v>
      </c>
      <c r="D323" s="35">
        <v>0.36944444444444446</v>
      </c>
      <c r="E323" s="35">
        <v>0.48125000000000001</v>
      </c>
      <c r="F323" s="35">
        <v>0.49722222222222223</v>
      </c>
      <c r="G323" s="30">
        <f t="shared" si="112"/>
        <v>1.5972222222222221E-2</v>
      </c>
      <c r="H323" s="30">
        <f t="shared" si="113"/>
        <v>2.0833333333333329E-3</v>
      </c>
      <c r="I323" s="36"/>
      <c r="J323" s="36"/>
      <c r="K323" s="35">
        <f t="shared" si="114"/>
        <v>0</v>
      </c>
      <c r="L323" s="32">
        <v>0.70138888888888884</v>
      </c>
      <c r="M323" s="32">
        <f t="shared" si="115"/>
        <v>0.32986111111111105</v>
      </c>
      <c r="N323" s="23">
        <f t="shared" si="105"/>
        <v>1.1111111111111016E-2</v>
      </c>
      <c r="O323" s="33">
        <f t="shared" si="116"/>
        <v>6.6666666666666596E-2</v>
      </c>
      <c r="P323" s="67">
        <f>P322+N323</f>
        <v>6.6666666666666596E-2</v>
      </c>
      <c r="Q323" s="71"/>
      <c r="R323" s="71"/>
    </row>
    <row r="324" spans="2:18" x14ac:dyDescent="0.25">
      <c r="B324" s="45">
        <v>44141</v>
      </c>
      <c r="C324" s="47" t="s">
        <v>8</v>
      </c>
      <c r="D324" s="35">
        <v>0.32569444444444445</v>
      </c>
      <c r="E324" s="35">
        <v>0.46180555555555558</v>
      </c>
      <c r="F324" s="35">
        <v>0.4861111111111111</v>
      </c>
      <c r="G324" s="30">
        <f t="shared" si="112"/>
        <v>2.4305555555555525E-2</v>
      </c>
      <c r="H324" s="30">
        <f t="shared" si="113"/>
        <v>1.0416666666666637E-2</v>
      </c>
      <c r="I324" s="36"/>
      <c r="J324" s="36"/>
      <c r="K324" s="35">
        <f t="shared" si="114"/>
        <v>0</v>
      </c>
      <c r="L324" s="32">
        <v>0.6777777777777777</v>
      </c>
      <c r="M324" s="32">
        <f t="shared" si="115"/>
        <v>0.34166666666666662</v>
      </c>
      <c r="N324" s="23">
        <f t="shared" si="105"/>
        <v>2.2916666666666585E-2</v>
      </c>
      <c r="O324" s="33">
        <f t="shared" si="116"/>
        <v>8.9583333333333182E-2</v>
      </c>
      <c r="P324" s="67">
        <f>P323+N324</f>
        <v>8.9583333333333182E-2</v>
      </c>
      <c r="Q324" s="71"/>
      <c r="R324" s="71"/>
    </row>
    <row r="325" spans="2:18" x14ac:dyDescent="0.25">
      <c r="B325" s="45">
        <v>44142</v>
      </c>
      <c r="C325" s="47" t="s">
        <v>9</v>
      </c>
      <c r="D325" s="35">
        <v>0.32083333333333336</v>
      </c>
      <c r="E325" s="35">
        <v>0.43958333333333338</v>
      </c>
      <c r="F325" s="35">
        <v>0.46111111111111108</v>
      </c>
      <c r="G325" s="30">
        <f t="shared" si="112"/>
        <v>2.1527777777777701E-2</v>
      </c>
      <c r="H325" s="30">
        <f t="shared" si="113"/>
        <v>7.6388888888888132E-3</v>
      </c>
      <c r="I325" s="36"/>
      <c r="J325" s="36"/>
      <c r="K325" s="35">
        <f t="shared" si="114"/>
        <v>0</v>
      </c>
      <c r="L325" s="32">
        <v>0.58402777777777781</v>
      </c>
      <c r="M325" s="32">
        <f t="shared" si="115"/>
        <v>0.25555555555555565</v>
      </c>
      <c r="N325" s="23">
        <f t="shared" si="105"/>
        <v>-6.3194444444444386E-2</v>
      </c>
      <c r="O325" s="33">
        <f t="shared" si="116"/>
        <v>2.6388888888888795E-2</v>
      </c>
      <c r="P325" s="67">
        <f>P324+N325</f>
        <v>2.6388888888888795E-2</v>
      </c>
      <c r="Q325" s="72">
        <f t="shared" ref="Q325" si="117">SUM(M321:M325)</f>
        <v>1.620138888888889</v>
      </c>
      <c r="R325" s="72">
        <f t="shared" ref="R325" si="118">Q325/5</f>
        <v>0.3240277777777778</v>
      </c>
    </row>
    <row r="326" spans="2:18" x14ac:dyDescent="0.25">
      <c r="B326" s="46">
        <v>44143</v>
      </c>
      <c r="C326" s="48" t="s">
        <v>21</v>
      </c>
      <c r="D326" s="43"/>
      <c r="E326" s="43"/>
      <c r="F326" s="43"/>
      <c r="G326" s="34"/>
      <c r="H326" s="34"/>
      <c r="I326" s="28"/>
      <c r="J326" s="28"/>
      <c r="K326" s="43"/>
      <c r="L326" s="27"/>
      <c r="M326" s="27"/>
      <c r="N326" s="44"/>
      <c r="O326" s="26"/>
      <c r="P326" s="65"/>
      <c r="Q326" s="71"/>
      <c r="R326" s="71"/>
    </row>
    <row r="327" spans="2:18" x14ac:dyDescent="0.25">
      <c r="B327" s="46">
        <v>44144</v>
      </c>
      <c r="C327" s="48" t="s">
        <v>22</v>
      </c>
      <c r="D327" s="43"/>
      <c r="E327" s="43"/>
      <c r="F327" s="43"/>
      <c r="G327" s="34"/>
      <c r="H327" s="34"/>
      <c r="I327" s="28"/>
      <c r="J327" s="28"/>
      <c r="K327" s="43"/>
      <c r="L327" s="27"/>
      <c r="M327" s="27"/>
      <c r="N327" s="44"/>
      <c r="O327" s="26"/>
      <c r="P327" s="65"/>
      <c r="Q327" s="71"/>
      <c r="R327" s="71"/>
    </row>
    <row r="328" spans="2:18" x14ac:dyDescent="0.25">
      <c r="B328" s="45">
        <v>44145</v>
      </c>
      <c r="C328" s="47" t="s">
        <v>6</v>
      </c>
      <c r="D328" s="35">
        <v>0.31111111111111112</v>
      </c>
      <c r="E328" s="35">
        <v>0.4548611111111111</v>
      </c>
      <c r="F328" s="35">
        <v>0.4694444444444445</v>
      </c>
      <c r="G328" s="30">
        <f t="shared" si="112"/>
        <v>1.4583333333333393E-2</v>
      </c>
      <c r="H328" s="30">
        <f t="shared" si="113"/>
        <v>6.9444444444450443E-4</v>
      </c>
      <c r="I328" s="36"/>
      <c r="J328" s="36"/>
      <c r="K328" s="35">
        <f t="shared" si="114"/>
        <v>0</v>
      </c>
      <c r="L328" s="32">
        <v>0.6479166666666667</v>
      </c>
      <c r="M328" s="32">
        <f t="shared" si="115"/>
        <v>0.33611111111111108</v>
      </c>
      <c r="N328" s="23">
        <f t="shared" si="105"/>
        <v>1.7361111111111049E-2</v>
      </c>
      <c r="O328" s="33">
        <f t="shared" si="116"/>
        <v>1.7361111111111049E-2</v>
      </c>
      <c r="P328" s="67">
        <f>P327+N328</f>
        <v>1.7361111111111049E-2</v>
      </c>
      <c r="Q328" s="71"/>
      <c r="R328" s="71"/>
    </row>
    <row r="329" spans="2:18" x14ac:dyDescent="0.25">
      <c r="B329" s="45">
        <v>44146</v>
      </c>
      <c r="C329" s="47" t="s">
        <v>7</v>
      </c>
      <c r="D329" s="35">
        <v>0.31875000000000003</v>
      </c>
      <c r="E329" s="35">
        <v>0.4375</v>
      </c>
      <c r="F329" s="35">
        <v>0.45208333333333334</v>
      </c>
      <c r="G329" s="30">
        <f t="shared" si="112"/>
        <v>1.4583333333333337E-2</v>
      </c>
      <c r="H329" s="30">
        <f t="shared" si="113"/>
        <v>6.9444444444444892E-4</v>
      </c>
      <c r="I329" s="36"/>
      <c r="J329" s="36"/>
      <c r="K329" s="35">
        <f t="shared" si="114"/>
        <v>0</v>
      </c>
      <c r="L329" s="32">
        <v>0.65972222222222221</v>
      </c>
      <c r="M329" s="32">
        <f t="shared" si="115"/>
        <v>0.34027777777777773</v>
      </c>
      <c r="N329" s="23">
        <f t="shared" si="105"/>
        <v>2.1527777777777701E-2</v>
      </c>
      <c r="O329" s="33">
        <f t="shared" si="116"/>
        <v>3.8888888888888751E-2</v>
      </c>
      <c r="P329" s="67">
        <f>P328+N329</f>
        <v>3.8888888888888751E-2</v>
      </c>
      <c r="Q329" s="71"/>
      <c r="R329" s="71"/>
    </row>
    <row r="330" spans="2:18" x14ac:dyDescent="0.25">
      <c r="B330" s="45">
        <v>44147</v>
      </c>
      <c r="C330" s="47" t="s">
        <v>23</v>
      </c>
      <c r="D330" s="35">
        <v>0.31180555555555556</v>
      </c>
      <c r="E330" s="35">
        <v>0.45069444444444445</v>
      </c>
      <c r="F330" s="35">
        <v>0.46180555555555558</v>
      </c>
      <c r="G330" s="30">
        <f t="shared" si="112"/>
        <v>1.1111111111111127E-2</v>
      </c>
      <c r="H330" s="30" t="b">
        <f t="shared" si="113"/>
        <v>0</v>
      </c>
      <c r="I330" s="36"/>
      <c r="J330" s="36"/>
      <c r="K330" s="35">
        <f t="shared" si="114"/>
        <v>0</v>
      </c>
      <c r="L330" s="32">
        <v>0.65416666666666667</v>
      </c>
      <c r="M330" s="32">
        <f t="shared" si="115"/>
        <v>0.34236111111111112</v>
      </c>
      <c r="N330" s="23">
        <f t="shared" si="105"/>
        <v>2.3611111111111083E-2</v>
      </c>
      <c r="O330" s="33">
        <f t="shared" si="116"/>
        <v>6.2499999999999833E-2</v>
      </c>
      <c r="P330" s="67">
        <f>P329+N330</f>
        <v>6.2499999999999833E-2</v>
      </c>
      <c r="Q330" s="71"/>
      <c r="R330" s="71"/>
    </row>
    <row r="331" spans="2:18" x14ac:dyDescent="0.25">
      <c r="B331" s="45">
        <v>44148</v>
      </c>
      <c r="C331" s="47" t="s">
        <v>8</v>
      </c>
      <c r="D331" s="35">
        <v>0.32083333333333336</v>
      </c>
      <c r="E331" s="35">
        <v>0.43263888888888885</v>
      </c>
      <c r="F331" s="35">
        <v>0.44722222222222219</v>
      </c>
      <c r="G331" s="30">
        <f t="shared" si="112"/>
        <v>1.4583333333333337E-2</v>
      </c>
      <c r="H331" s="30">
        <f t="shared" si="113"/>
        <v>6.9444444444444892E-4</v>
      </c>
      <c r="I331" s="36"/>
      <c r="J331" s="36"/>
      <c r="K331" s="35">
        <f t="shared" si="114"/>
        <v>0</v>
      </c>
      <c r="L331" s="32">
        <v>0.66388888888888886</v>
      </c>
      <c r="M331" s="32">
        <f t="shared" si="115"/>
        <v>0.34236111111111106</v>
      </c>
      <c r="N331" s="23">
        <f t="shared" si="105"/>
        <v>2.3611111111111027E-2</v>
      </c>
      <c r="O331" s="33">
        <f t="shared" si="116"/>
        <v>8.6111111111110861E-2</v>
      </c>
      <c r="P331" s="67">
        <f>P330+N331</f>
        <v>8.6111111111110861E-2</v>
      </c>
      <c r="Q331" s="71"/>
      <c r="R331" s="71"/>
    </row>
    <row r="332" spans="2:18" x14ac:dyDescent="0.25">
      <c r="B332" s="45">
        <v>44149</v>
      </c>
      <c r="C332" s="47" t="s">
        <v>9</v>
      </c>
      <c r="D332" s="35">
        <v>0.31597222222222221</v>
      </c>
      <c r="E332" s="35">
        <v>0.43611111111111112</v>
      </c>
      <c r="F332" s="35">
        <v>0.45069444444444445</v>
      </c>
      <c r="G332" s="30">
        <f t="shared" si="112"/>
        <v>1.4583333333333337E-2</v>
      </c>
      <c r="H332" s="30">
        <f t="shared" si="113"/>
        <v>6.9444444444444892E-4</v>
      </c>
      <c r="I332" s="36"/>
      <c r="J332" s="36"/>
      <c r="K332" s="35">
        <f t="shared" si="114"/>
        <v>0</v>
      </c>
      <c r="L332" s="32">
        <v>0.58750000000000002</v>
      </c>
      <c r="M332" s="32">
        <f t="shared" si="115"/>
        <v>0.27083333333333337</v>
      </c>
      <c r="N332" s="23">
        <f t="shared" si="105"/>
        <v>-4.7916666666666663E-2</v>
      </c>
      <c r="O332" s="33">
        <f t="shared" si="116"/>
        <v>3.8194444444444198E-2</v>
      </c>
      <c r="P332" s="67">
        <f>P331+N332</f>
        <v>3.8194444444444198E-2</v>
      </c>
      <c r="Q332" s="72">
        <f t="shared" ref="Q332" si="119">SUM(M328:M332)</f>
        <v>1.6319444444444442</v>
      </c>
      <c r="R332" s="72">
        <f t="shared" ref="R332" si="120">Q332/5</f>
        <v>0.32638888888888884</v>
      </c>
    </row>
    <row r="333" spans="2:18" x14ac:dyDescent="0.25">
      <c r="B333" s="46">
        <v>44150</v>
      </c>
      <c r="C333" s="48" t="s">
        <v>21</v>
      </c>
      <c r="D333" s="43"/>
      <c r="E333" s="43"/>
      <c r="F333" s="43"/>
      <c r="G333" s="34"/>
      <c r="H333" s="34"/>
      <c r="I333" s="28"/>
      <c r="J333" s="28"/>
      <c r="K333" s="43"/>
      <c r="L333" s="27"/>
      <c r="M333" s="27"/>
      <c r="N333" s="44"/>
      <c r="O333" s="26"/>
      <c r="P333" s="65"/>
      <c r="Q333" s="71"/>
      <c r="R333" s="71"/>
    </row>
    <row r="334" spans="2:18" x14ac:dyDescent="0.25">
      <c r="B334" s="46">
        <v>44151</v>
      </c>
      <c r="C334" s="48" t="s">
        <v>22</v>
      </c>
      <c r="D334" s="43"/>
      <c r="E334" s="43"/>
      <c r="F334" s="43"/>
      <c r="G334" s="34"/>
      <c r="H334" s="34"/>
      <c r="I334" s="28"/>
      <c r="J334" s="28"/>
      <c r="K334" s="43"/>
      <c r="L334" s="27"/>
      <c r="M334" s="27"/>
      <c r="N334" s="44"/>
      <c r="O334" s="26"/>
      <c r="P334" s="65"/>
      <c r="Q334" s="71"/>
      <c r="R334" s="71"/>
    </row>
    <row r="335" spans="2:18" x14ac:dyDescent="0.25">
      <c r="B335" s="45">
        <v>44152</v>
      </c>
      <c r="C335" s="47" t="s">
        <v>6</v>
      </c>
      <c r="D335" s="35">
        <v>0.31458333333333333</v>
      </c>
      <c r="E335" s="35">
        <v>0.44166666666666665</v>
      </c>
      <c r="F335" s="35">
        <v>0.45694444444444443</v>
      </c>
      <c r="G335" s="30">
        <f t="shared" si="112"/>
        <v>1.5277777777777779E-2</v>
      </c>
      <c r="H335" s="30">
        <f t="shared" si="113"/>
        <v>1.3888888888888909E-3</v>
      </c>
      <c r="I335" s="36"/>
      <c r="J335" s="36"/>
      <c r="K335" s="35">
        <f t="shared" si="114"/>
        <v>0</v>
      </c>
      <c r="L335" s="32">
        <v>0.68472222222222223</v>
      </c>
      <c r="M335" s="32">
        <f t="shared" si="115"/>
        <v>0.36875000000000002</v>
      </c>
      <c r="N335" s="23">
        <f t="shared" si="105"/>
        <v>4.9999999999999989E-2</v>
      </c>
      <c r="O335" s="33">
        <f t="shared" si="116"/>
        <v>4.9999999999999989E-2</v>
      </c>
      <c r="P335" s="67">
        <f>P334+N335</f>
        <v>4.9999999999999989E-2</v>
      </c>
      <c r="Q335" s="71"/>
      <c r="R335" s="71"/>
    </row>
    <row r="336" spans="2:18" x14ac:dyDescent="0.25">
      <c r="B336" s="45">
        <v>44153</v>
      </c>
      <c r="C336" s="47" t="s">
        <v>7</v>
      </c>
      <c r="D336" s="35">
        <v>0.31875000000000003</v>
      </c>
      <c r="E336" s="35">
        <v>0.4604166666666667</v>
      </c>
      <c r="F336" s="35">
        <v>0.47569444444444442</v>
      </c>
      <c r="G336" s="30">
        <f t="shared" si="112"/>
        <v>1.5277777777777724E-2</v>
      </c>
      <c r="H336" s="30">
        <f t="shared" si="113"/>
        <v>1.3888888888888354E-3</v>
      </c>
      <c r="I336" s="36"/>
      <c r="J336" s="36"/>
      <c r="K336" s="35">
        <f t="shared" si="114"/>
        <v>0</v>
      </c>
      <c r="L336" s="32">
        <v>0.64861111111111114</v>
      </c>
      <c r="M336" s="32">
        <f t="shared" si="115"/>
        <v>0.32847222222222228</v>
      </c>
      <c r="N336" s="23">
        <f t="shared" si="105"/>
        <v>9.7222222222222432E-3</v>
      </c>
      <c r="O336" s="33">
        <f t="shared" si="116"/>
        <v>5.9722222222222232E-2</v>
      </c>
      <c r="P336" s="67">
        <f>P335+N336</f>
        <v>5.9722222222222232E-2</v>
      </c>
      <c r="Q336" s="71"/>
      <c r="R336" s="71"/>
    </row>
    <row r="337" spans="2:18" x14ac:dyDescent="0.25">
      <c r="B337" s="45">
        <v>44154</v>
      </c>
      <c r="C337" s="47" t="s">
        <v>23</v>
      </c>
      <c r="D337" s="35">
        <v>0.31805555555555554</v>
      </c>
      <c r="E337" s="35">
        <v>0.56041666666666667</v>
      </c>
      <c r="F337" s="35">
        <v>0.57430555555555551</v>
      </c>
      <c r="G337" s="30">
        <f t="shared" si="112"/>
        <v>1.388888888888884E-2</v>
      </c>
      <c r="H337" s="30" t="b">
        <f t="shared" si="113"/>
        <v>0</v>
      </c>
      <c r="I337" s="36"/>
      <c r="J337" s="36"/>
      <c r="K337" s="35">
        <f t="shared" si="114"/>
        <v>0</v>
      </c>
      <c r="L337" s="32">
        <v>0.67291666666666661</v>
      </c>
      <c r="M337" s="32">
        <f t="shared" si="115"/>
        <v>0.35486111111111107</v>
      </c>
      <c r="N337" s="23">
        <f t="shared" si="105"/>
        <v>3.6111111111111038E-2</v>
      </c>
      <c r="O337" s="33">
        <f t="shared" si="116"/>
        <v>9.583333333333327E-2</v>
      </c>
      <c r="P337" s="67">
        <f>P336+N337</f>
        <v>9.583333333333327E-2</v>
      </c>
      <c r="Q337" s="71"/>
      <c r="R337" s="71"/>
    </row>
    <row r="338" spans="2:18" x14ac:dyDescent="0.25">
      <c r="B338" s="45">
        <v>44155</v>
      </c>
      <c r="C338" s="47" t="s">
        <v>8</v>
      </c>
      <c r="D338" s="35">
        <v>0.31875000000000003</v>
      </c>
      <c r="E338" s="35">
        <v>0.45694444444444443</v>
      </c>
      <c r="F338" s="35">
        <v>0.46875</v>
      </c>
      <c r="G338" s="30">
        <f t="shared" si="112"/>
        <v>1.1805555555555569E-2</v>
      </c>
      <c r="H338" s="30" t="b">
        <f t="shared" si="113"/>
        <v>0</v>
      </c>
      <c r="I338" s="36"/>
      <c r="J338" s="36"/>
      <c r="K338" s="35">
        <f t="shared" si="114"/>
        <v>0</v>
      </c>
      <c r="L338" s="32">
        <v>0.64930555555555558</v>
      </c>
      <c r="M338" s="32">
        <f t="shared" si="115"/>
        <v>0.33055555555555555</v>
      </c>
      <c r="N338" s="23">
        <f t="shared" si="105"/>
        <v>1.1805555555555514E-2</v>
      </c>
      <c r="O338" s="33">
        <f t="shared" si="116"/>
        <v>0.10763888888888878</v>
      </c>
      <c r="P338" s="67">
        <f>P337+N338</f>
        <v>0.10763888888888878</v>
      </c>
      <c r="Q338" s="71"/>
      <c r="R338" s="71"/>
    </row>
    <row r="339" spans="2:18" x14ac:dyDescent="0.25">
      <c r="B339" s="45">
        <v>44156</v>
      </c>
      <c r="C339" s="47" t="s">
        <v>9</v>
      </c>
      <c r="D339" s="35"/>
      <c r="E339" s="35"/>
      <c r="F339" s="35"/>
      <c r="G339" s="30">
        <f t="shared" si="112"/>
        <v>0</v>
      </c>
      <c r="H339" s="30" t="b">
        <f t="shared" si="113"/>
        <v>0</v>
      </c>
      <c r="I339" s="36"/>
      <c r="J339" s="36"/>
      <c r="K339" s="35">
        <f t="shared" si="114"/>
        <v>0</v>
      </c>
      <c r="L339" s="32"/>
      <c r="M339" s="32">
        <f t="shared" si="115"/>
        <v>0</v>
      </c>
      <c r="N339" s="23">
        <f t="shared" si="105"/>
        <v>-0.31875000000000003</v>
      </c>
      <c r="O339" s="33">
        <f t="shared" si="116"/>
        <v>-0.21111111111111125</v>
      </c>
      <c r="P339" s="67">
        <f>P338+N339</f>
        <v>-0.21111111111111125</v>
      </c>
      <c r="Q339" s="72">
        <f t="shared" ref="Q339" si="121">SUM(M335:M339)</f>
        <v>1.382638888888889</v>
      </c>
      <c r="R339" s="72">
        <f t="shared" ref="R339" si="122">Q339/5</f>
        <v>0.27652777777777782</v>
      </c>
    </row>
    <row r="340" spans="2:18" x14ac:dyDescent="0.25">
      <c r="B340" s="46">
        <v>44157</v>
      </c>
      <c r="C340" s="48" t="s">
        <v>21</v>
      </c>
      <c r="D340" s="43"/>
      <c r="E340" s="43"/>
      <c r="F340" s="43"/>
      <c r="G340" s="34"/>
      <c r="H340" s="34"/>
      <c r="I340" s="28"/>
      <c r="J340" s="28"/>
      <c r="K340" s="43"/>
      <c r="L340" s="27"/>
      <c r="M340" s="27"/>
      <c r="N340" s="44"/>
      <c r="O340" s="26"/>
      <c r="P340" s="65"/>
      <c r="Q340" s="71"/>
      <c r="R340" s="71"/>
    </row>
    <row r="341" spans="2:18" x14ac:dyDescent="0.25">
      <c r="B341" s="46">
        <v>44158</v>
      </c>
      <c r="C341" s="48" t="s">
        <v>22</v>
      </c>
      <c r="D341" s="43"/>
      <c r="E341" s="43"/>
      <c r="F341" s="43"/>
      <c r="G341" s="34"/>
      <c r="H341" s="34"/>
      <c r="I341" s="28"/>
      <c r="J341" s="28"/>
      <c r="K341" s="43"/>
      <c r="L341" s="27"/>
      <c r="M341" s="27"/>
      <c r="N341" s="44"/>
      <c r="O341" s="26"/>
      <c r="P341" s="65"/>
      <c r="Q341" s="71"/>
      <c r="R341" s="71"/>
    </row>
    <row r="342" spans="2:18" x14ac:dyDescent="0.25">
      <c r="B342" s="45">
        <v>44159</v>
      </c>
      <c r="C342" s="47" t="s">
        <v>6</v>
      </c>
      <c r="D342" s="35">
        <v>0.31527777777777777</v>
      </c>
      <c r="E342" s="35">
        <v>0.4458333333333333</v>
      </c>
      <c r="F342" s="35">
        <v>0.46319444444444446</v>
      </c>
      <c r="G342" s="30">
        <f t="shared" si="112"/>
        <v>1.736111111111116E-2</v>
      </c>
      <c r="H342" s="30">
        <f t="shared" si="113"/>
        <v>3.4722222222222723E-3</v>
      </c>
      <c r="I342" s="36"/>
      <c r="J342" s="36"/>
      <c r="K342" s="35">
        <f t="shared" si="114"/>
        <v>0</v>
      </c>
      <c r="L342" s="32">
        <v>0.65138888888888891</v>
      </c>
      <c r="M342" s="32">
        <f t="shared" si="115"/>
        <v>0.33263888888888887</v>
      </c>
      <c r="N342" s="23">
        <f t="shared" si="105"/>
        <v>1.388888888888884E-2</v>
      </c>
      <c r="O342" s="33">
        <f t="shared" si="116"/>
        <v>1.388888888888884E-2</v>
      </c>
      <c r="P342" s="67">
        <f>P341+N342</f>
        <v>1.388888888888884E-2</v>
      </c>
      <c r="Q342" s="71"/>
      <c r="R342" s="71"/>
    </row>
    <row r="343" spans="2:18" x14ac:dyDescent="0.25">
      <c r="B343" s="45">
        <v>44160</v>
      </c>
      <c r="C343" s="47" t="s">
        <v>7</v>
      </c>
      <c r="D343" s="35">
        <v>0.31736111111111115</v>
      </c>
      <c r="E343" s="35">
        <v>0.4458333333333333</v>
      </c>
      <c r="F343" s="35">
        <v>0.46111111111111108</v>
      </c>
      <c r="G343" s="30">
        <f t="shared" si="112"/>
        <v>1.5277777777777779E-2</v>
      </c>
      <c r="H343" s="30">
        <f t="shared" si="113"/>
        <v>1.3888888888888909E-3</v>
      </c>
      <c r="I343" s="36"/>
      <c r="J343" s="36"/>
      <c r="K343" s="35">
        <f t="shared" si="114"/>
        <v>0</v>
      </c>
      <c r="L343" s="32">
        <v>0.65902777777777777</v>
      </c>
      <c r="M343" s="32">
        <f t="shared" si="115"/>
        <v>0.34027777777777773</v>
      </c>
      <c r="N343" s="23">
        <f t="shared" si="105"/>
        <v>2.1527777777777701E-2</v>
      </c>
      <c r="O343" s="33">
        <f t="shared" si="116"/>
        <v>3.5416666666666541E-2</v>
      </c>
      <c r="P343" s="67">
        <f>P342+N343</f>
        <v>3.5416666666666541E-2</v>
      </c>
      <c r="Q343" s="71"/>
      <c r="R343" s="71"/>
    </row>
    <row r="344" spans="2:18" x14ac:dyDescent="0.25">
      <c r="B344" s="45">
        <v>44161</v>
      </c>
      <c r="C344" s="47" t="s">
        <v>23</v>
      </c>
      <c r="D344" s="35">
        <v>0.31041666666666667</v>
      </c>
      <c r="E344" s="35">
        <v>0.43611111111111112</v>
      </c>
      <c r="F344" s="35">
        <v>0.45416666666666666</v>
      </c>
      <c r="G344" s="30">
        <f t="shared" si="112"/>
        <v>1.8055555555555547E-2</v>
      </c>
      <c r="H344" s="30">
        <f t="shared" si="113"/>
        <v>4.1666666666666588E-3</v>
      </c>
      <c r="I344" s="36"/>
      <c r="J344" s="36"/>
      <c r="K344" s="35">
        <f t="shared" si="114"/>
        <v>0</v>
      </c>
      <c r="L344" s="32">
        <v>0.64930555555555558</v>
      </c>
      <c r="M344" s="32">
        <f t="shared" si="115"/>
        <v>0.33472222222222225</v>
      </c>
      <c r="N344" s="23">
        <f t="shared" si="105"/>
        <v>1.5972222222222221E-2</v>
      </c>
      <c r="O344" s="33">
        <f t="shared" si="116"/>
        <v>5.1388888888888762E-2</v>
      </c>
      <c r="P344" s="67">
        <f>P343+N344</f>
        <v>5.1388888888888762E-2</v>
      </c>
      <c r="Q344" s="71"/>
      <c r="R344" s="71"/>
    </row>
    <row r="345" spans="2:18" x14ac:dyDescent="0.25">
      <c r="B345" s="45">
        <v>44162</v>
      </c>
      <c r="C345" s="47" t="s">
        <v>8</v>
      </c>
      <c r="D345" s="35">
        <v>0.31597222222222221</v>
      </c>
      <c r="E345" s="35">
        <v>0.46875</v>
      </c>
      <c r="F345" s="35">
        <v>0.48194444444444445</v>
      </c>
      <c r="G345" s="30">
        <f t="shared" si="112"/>
        <v>1.3194444444444453E-2</v>
      </c>
      <c r="H345" s="30" t="b">
        <f t="shared" si="113"/>
        <v>0</v>
      </c>
      <c r="I345" s="36"/>
      <c r="J345" s="36"/>
      <c r="K345" s="35">
        <f t="shared" si="114"/>
        <v>0</v>
      </c>
      <c r="L345" s="32">
        <v>0.65555555555555556</v>
      </c>
      <c r="M345" s="32">
        <f t="shared" si="115"/>
        <v>0.33958333333333335</v>
      </c>
      <c r="N345" s="23">
        <f t="shared" si="105"/>
        <v>2.0833333333333315E-2</v>
      </c>
      <c r="O345" s="33">
        <f t="shared" si="116"/>
        <v>7.2222222222222077E-2</v>
      </c>
      <c r="P345" s="67">
        <f>P344+N345</f>
        <v>7.2222222222222077E-2</v>
      </c>
      <c r="Q345" s="71"/>
      <c r="R345" s="71"/>
    </row>
    <row r="346" spans="2:18" x14ac:dyDescent="0.25">
      <c r="B346" s="45">
        <v>44163</v>
      </c>
      <c r="C346" s="47" t="s">
        <v>9</v>
      </c>
      <c r="D346" s="35">
        <v>0.31527777777777777</v>
      </c>
      <c r="E346" s="35">
        <v>0.43958333333333338</v>
      </c>
      <c r="F346" s="35">
        <v>0.45347222222222222</v>
      </c>
      <c r="G346" s="30">
        <f t="shared" si="112"/>
        <v>1.388888888888884E-2</v>
      </c>
      <c r="H346" s="30" t="b">
        <f t="shared" si="113"/>
        <v>0</v>
      </c>
      <c r="I346" s="36"/>
      <c r="J346" s="36"/>
      <c r="K346" s="35">
        <f t="shared" si="114"/>
        <v>0</v>
      </c>
      <c r="L346" s="32">
        <v>0.58472222222222225</v>
      </c>
      <c r="M346" s="32">
        <f t="shared" si="115"/>
        <v>0.26944444444444449</v>
      </c>
      <c r="N346" s="23">
        <f t="shared" si="105"/>
        <v>-4.9305555555555547E-2</v>
      </c>
      <c r="O346" s="33">
        <f t="shared" si="116"/>
        <v>2.291666666666653E-2</v>
      </c>
      <c r="P346" s="67">
        <f>P345+N346</f>
        <v>2.291666666666653E-2</v>
      </c>
      <c r="Q346" s="72">
        <f t="shared" ref="Q346" si="123">SUM(M342:M346)</f>
        <v>1.6166666666666667</v>
      </c>
      <c r="R346" s="72">
        <f t="shared" ref="R346" si="124">Q346/5</f>
        <v>0.32333333333333336</v>
      </c>
    </row>
    <row r="347" spans="2:18" x14ac:dyDescent="0.25">
      <c r="B347" s="46">
        <v>44164</v>
      </c>
      <c r="C347" s="48" t="s">
        <v>21</v>
      </c>
      <c r="D347" s="43"/>
      <c r="E347" s="43"/>
      <c r="F347" s="43"/>
      <c r="G347" s="34"/>
      <c r="H347" s="34"/>
      <c r="I347" s="28"/>
      <c r="J347" s="28"/>
      <c r="K347" s="43"/>
      <c r="L347" s="27"/>
      <c r="M347" s="27"/>
      <c r="N347" s="44"/>
      <c r="O347" s="26"/>
      <c r="P347" s="65"/>
      <c r="Q347" s="71"/>
      <c r="R347" s="71"/>
    </row>
    <row r="348" spans="2:18" x14ac:dyDescent="0.25">
      <c r="B348" s="46">
        <v>44165</v>
      </c>
      <c r="C348" s="48" t="s">
        <v>22</v>
      </c>
      <c r="D348" s="43"/>
      <c r="E348" s="43"/>
      <c r="F348" s="43"/>
      <c r="G348" s="34"/>
      <c r="H348" s="34"/>
      <c r="I348" s="28"/>
      <c r="J348" s="28"/>
      <c r="K348" s="43"/>
      <c r="L348" s="27"/>
      <c r="M348" s="27"/>
      <c r="N348" s="44"/>
      <c r="O348" s="26"/>
      <c r="P348" s="65"/>
      <c r="Q348" s="71"/>
      <c r="R348" s="71"/>
    </row>
    <row r="349" spans="2:18" x14ac:dyDescent="0.25">
      <c r="B349" s="45">
        <v>44166</v>
      </c>
      <c r="C349" s="47" t="s">
        <v>6</v>
      </c>
      <c r="D349" s="35"/>
      <c r="E349" s="35"/>
      <c r="F349" s="35"/>
      <c r="G349" s="30">
        <f t="shared" ref="G349:G378" si="125">F349-E349</f>
        <v>0</v>
      </c>
      <c r="H349" s="30" t="b">
        <f t="shared" ref="H349:H378" si="126">IF(G349&gt;$I$6,G349-$I$6)</f>
        <v>0</v>
      </c>
      <c r="I349" s="36"/>
      <c r="J349" s="36"/>
      <c r="K349" s="35">
        <f t="shared" ref="K349:K378" si="127">J349-I349</f>
        <v>0</v>
      </c>
      <c r="L349" s="32"/>
      <c r="M349" s="32">
        <f t="shared" ref="M349:M378" si="128">(L349-D349)-H349-K349</f>
        <v>0</v>
      </c>
      <c r="N349" s="23">
        <f t="shared" si="105"/>
        <v>-0.31875000000000003</v>
      </c>
      <c r="O349" s="33">
        <f t="shared" ref="O349:O378" si="129">O348+N349</f>
        <v>-0.31875000000000003</v>
      </c>
      <c r="P349" s="67">
        <f>P348+N349</f>
        <v>-0.31875000000000003</v>
      </c>
      <c r="Q349" s="71"/>
      <c r="R349" s="71"/>
    </row>
    <row r="350" spans="2:18" x14ac:dyDescent="0.25">
      <c r="B350" s="45">
        <v>44167</v>
      </c>
      <c r="C350" s="47" t="s">
        <v>7</v>
      </c>
      <c r="D350" s="35">
        <v>0.31597222222222221</v>
      </c>
      <c r="E350" s="35">
        <v>0.44236111111111115</v>
      </c>
      <c r="F350" s="35">
        <v>0.4548611111111111</v>
      </c>
      <c r="G350" s="30">
        <f t="shared" si="125"/>
        <v>1.2499999999999956E-2</v>
      </c>
      <c r="H350" s="30" t="b">
        <f t="shared" si="126"/>
        <v>0</v>
      </c>
      <c r="I350" s="36"/>
      <c r="J350" s="36"/>
      <c r="K350" s="35">
        <f t="shared" si="127"/>
        <v>0</v>
      </c>
      <c r="L350" s="32">
        <v>0.65277777777777779</v>
      </c>
      <c r="M350" s="32">
        <f t="shared" si="128"/>
        <v>0.33680555555555558</v>
      </c>
      <c r="N350" s="23">
        <f t="shared" si="105"/>
        <v>1.8055555555555547E-2</v>
      </c>
      <c r="O350" s="33">
        <f t="shared" si="129"/>
        <v>-0.30069444444444449</v>
      </c>
      <c r="P350" s="67">
        <f>P349+N350</f>
        <v>-0.30069444444444449</v>
      </c>
      <c r="Q350" s="71"/>
      <c r="R350" s="71"/>
    </row>
    <row r="351" spans="2:18" x14ac:dyDescent="0.25">
      <c r="B351" s="45">
        <v>44168</v>
      </c>
      <c r="C351" s="47" t="s">
        <v>23</v>
      </c>
      <c r="D351" s="35"/>
      <c r="E351" s="35"/>
      <c r="F351" s="35"/>
      <c r="G351" s="30">
        <f t="shared" si="125"/>
        <v>0</v>
      </c>
      <c r="H351" s="30" t="b">
        <f t="shared" si="126"/>
        <v>0</v>
      </c>
      <c r="I351" s="36"/>
      <c r="J351" s="36"/>
      <c r="K351" s="35">
        <f t="shared" si="127"/>
        <v>0</v>
      </c>
      <c r="L351" s="32"/>
      <c r="M351" s="32">
        <f t="shared" si="128"/>
        <v>0</v>
      </c>
      <c r="N351" s="23">
        <f t="shared" si="105"/>
        <v>-0.31875000000000003</v>
      </c>
      <c r="O351" s="33">
        <f t="shared" si="129"/>
        <v>-0.61944444444444446</v>
      </c>
      <c r="P351" s="67">
        <f>P350+N351</f>
        <v>-0.61944444444444446</v>
      </c>
      <c r="Q351" s="71"/>
      <c r="R351" s="71"/>
    </row>
    <row r="352" spans="2:18" x14ac:dyDescent="0.25">
      <c r="B352" s="45">
        <v>44169</v>
      </c>
      <c r="C352" s="47" t="s">
        <v>8</v>
      </c>
      <c r="D352" s="35">
        <v>0.31597222222222221</v>
      </c>
      <c r="E352" s="35">
        <v>0.44236111111111115</v>
      </c>
      <c r="F352" s="35">
        <v>0.4548611111111111</v>
      </c>
      <c r="G352" s="30">
        <f t="shared" si="125"/>
        <v>1.2499999999999956E-2</v>
      </c>
      <c r="H352" s="30" t="b">
        <f t="shared" si="126"/>
        <v>0</v>
      </c>
      <c r="I352" s="36"/>
      <c r="J352" s="36"/>
      <c r="K352" s="35">
        <f t="shared" si="127"/>
        <v>0</v>
      </c>
      <c r="L352" s="32">
        <v>0.65416666666666667</v>
      </c>
      <c r="M352" s="32">
        <f t="shared" si="128"/>
        <v>0.33819444444444446</v>
      </c>
      <c r="N352" s="23">
        <f t="shared" si="105"/>
        <v>1.9444444444444431E-2</v>
      </c>
      <c r="O352" s="33">
        <f t="shared" si="129"/>
        <v>-0.60000000000000009</v>
      </c>
      <c r="P352" s="67">
        <f>P351+N352</f>
        <v>-0.60000000000000009</v>
      </c>
      <c r="Q352" s="71"/>
      <c r="R352" s="71"/>
    </row>
    <row r="353" spans="2:18" x14ac:dyDescent="0.25">
      <c r="B353" s="45">
        <v>44170</v>
      </c>
      <c r="C353" s="47" t="s">
        <v>9</v>
      </c>
      <c r="D353" s="35"/>
      <c r="E353" s="35"/>
      <c r="F353" s="35"/>
      <c r="G353" s="30">
        <f t="shared" si="125"/>
        <v>0</v>
      </c>
      <c r="H353" s="30" t="b">
        <f t="shared" si="126"/>
        <v>0</v>
      </c>
      <c r="I353" s="36"/>
      <c r="J353" s="36"/>
      <c r="K353" s="35">
        <f t="shared" si="127"/>
        <v>0</v>
      </c>
      <c r="L353" s="32"/>
      <c r="M353" s="32">
        <f t="shared" si="128"/>
        <v>0</v>
      </c>
      <c r="N353" s="23">
        <f t="shared" si="105"/>
        <v>-0.31875000000000003</v>
      </c>
      <c r="O353" s="33">
        <f t="shared" si="129"/>
        <v>-0.91875000000000018</v>
      </c>
      <c r="P353" s="67">
        <f>P352+N353</f>
        <v>-0.91875000000000018</v>
      </c>
      <c r="Q353" s="72">
        <f t="shared" ref="Q353" si="130">SUM(M349:M353)</f>
        <v>0.67500000000000004</v>
      </c>
      <c r="R353" s="72">
        <f t="shared" ref="R353" si="131">Q353/5</f>
        <v>0.13500000000000001</v>
      </c>
    </row>
    <row r="354" spans="2:18" x14ac:dyDescent="0.25">
      <c r="B354" s="46">
        <v>44171</v>
      </c>
      <c r="C354" s="48" t="s">
        <v>21</v>
      </c>
      <c r="D354" s="43"/>
      <c r="E354" s="43"/>
      <c r="F354" s="43"/>
      <c r="G354" s="34"/>
      <c r="H354" s="34"/>
      <c r="I354" s="28"/>
      <c r="J354" s="28"/>
      <c r="K354" s="43"/>
      <c r="L354" s="27"/>
      <c r="M354" s="27"/>
      <c r="N354" s="44"/>
      <c r="O354" s="26"/>
      <c r="P354" s="65"/>
      <c r="Q354" s="71"/>
      <c r="R354" s="71"/>
    </row>
    <row r="355" spans="2:18" x14ac:dyDescent="0.25">
      <c r="B355" s="46">
        <v>44172</v>
      </c>
      <c r="C355" s="48" t="s">
        <v>22</v>
      </c>
      <c r="D355" s="43"/>
      <c r="E355" s="43"/>
      <c r="F355" s="43"/>
      <c r="G355" s="34"/>
      <c r="H355" s="34"/>
      <c r="I355" s="28"/>
      <c r="J355" s="28"/>
      <c r="K355" s="43"/>
      <c r="L355" s="27"/>
      <c r="M355" s="27"/>
      <c r="N355" s="44"/>
      <c r="O355" s="26"/>
      <c r="P355" s="65"/>
      <c r="Q355" s="71"/>
      <c r="R355" s="71"/>
    </row>
    <row r="356" spans="2:18" x14ac:dyDescent="0.25">
      <c r="B356" s="45">
        <v>44173</v>
      </c>
      <c r="C356" s="47" t="s">
        <v>6</v>
      </c>
      <c r="D356" s="35"/>
      <c r="E356" s="35"/>
      <c r="F356" s="35"/>
      <c r="G356" s="30">
        <f t="shared" si="125"/>
        <v>0</v>
      </c>
      <c r="H356" s="30" t="b">
        <f t="shared" si="126"/>
        <v>0</v>
      </c>
      <c r="I356" s="36"/>
      <c r="J356" s="36"/>
      <c r="K356" s="35">
        <f t="shared" si="127"/>
        <v>0</v>
      </c>
      <c r="L356" s="32"/>
      <c r="M356" s="32">
        <f t="shared" si="128"/>
        <v>0</v>
      </c>
      <c r="N356" s="23">
        <f t="shared" si="105"/>
        <v>-0.31875000000000003</v>
      </c>
      <c r="O356" s="33">
        <f t="shared" si="129"/>
        <v>-0.31875000000000003</v>
      </c>
      <c r="P356" s="67">
        <f>P355+N356</f>
        <v>-0.31875000000000003</v>
      </c>
      <c r="Q356" s="71"/>
      <c r="R356" s="71"/>
    </row>
    <row r="357" spans="2:18" x14ac:dyDescent="0.25">
      <c r="B357" s="45">
        <v>44174</v>
      </c>
      <c r="C357" s="47" t="s">
        <v>7</v>
      </c>
      <c r="D357" s="35">
        <v>0.30763888888888891</v>
      </c>
      <c r="E357" s="35">
        <v>0.4458333333333333</v>
      </c>
      <c r="F357" s="35">
        <v>0.46319444444444446</v>
      </c>
      <c r="G357" s="30">
        <f t="shared" si="125"/>
        <v>1.736111111111116E-2</v>
      </c>
      <c r="H357" s="30">
        <f t="shared" si="126"/>
        <v>3.4722222222222723E-3</v>
      </c>
      <c r="I357" s="36"/>
      <c r="J357" s="36"/>
      <c r="K357" s="35">
        <f t="shared" si="127"/>
        <v>0</v>
      </c>
      <c r="L357" s="32">
        <v>0.6479166666666667</v>
      </c>
      <c r="M357" s="32">
        <f t="shared" si="128"/>
        <v>0.33680555555555552</v>
      </c>
      <c r="N357" s="23">
        <f t="shared" si="105"/>
        <v>1.8055555555555491E-2</v>
      </c>
      <c r="O357" s="33">
        <f t="shared" si="129"/>
        <v>-0.30069444444444454</v>
      </c>
      <c r="P357" s="67">
        <f>P356+N357</f>
        <v>-0.30069444444444454</v>
      </c>
      <c r="Q357" s="71"/>
      <c r="R357" s="71"/>
    </row>
    <row r="358" spans="2:18" x14ac:dyDescent="0.25">
      <c r="B358" s="45">
        <v>44175</v>
      </c>
      <c r="C358" s="47" t="s">
        <v>23</v>
      </c>
      <c r="D358" s="35">
        <v>0.30486111111111108</v>
      </c>
      <c r="E358" s="35">
        <v>0.4368055555555555</v>
      </c>
      <c r="F358" s="35">
        <v>0.4597222222222222</v>
      </c>
      <c r="G358" s="30">
        <f t="shared" si="125"/>
        <v>2.2916666666666696E-2</v>
      </c>
      <c r="H358" s="30">
        <f t="shared" si="126"/>
        <v>9.0277777777778082E-3</v>
      </c>
      <c r="I358" s="36"/>
      <c r="J358" s="36"/>
      <c r="K358" s="35">
        <f t="shared" si="127"/>
        <v>0</v>
      </c>
      <c r="L358" s="32">
        <v>0.6479166666666667</v>
      </c>
      <c r="M358" s="32">
        <f t="shared" si="128"/>
        <v>0.33402777777777781</v>
      </c>
      <c r="N358" s="23">
        <f t="shared" si="105"/>
        <v>1.5277777777777779E-2</v>
      </c>
      <c r="O358" s="33">
        <f t="shared" si="129"/>
        <v>-0.28541666666666676</v>
      </c>
      <c r="P358" s="67">
        <f>P357+N358</f>
        <v>-0.28541666666666676</v>
      </c>
      <c r="Q358" s="71"/>
      <c r="R358" s="71"/>
    </row>
    <row r="359" spans="2:18" x14ac:dyDescent="0.25">
      <c r="B359" s="45">
        <v>44176</v>
      </c>
      <c r="C359" s="47" t="s">
        <v>8</v>
      </c>
      <c r="D359" s="35">
        <v>0.31388888888888888</v>
      </c>
      <c r="E359" s="35"/>
      <c r="F359" s="35"/>
      <c r="G359" s="30">
        <f t="shared" si="125"/>
        <v>0</v>
      </c>
      <c r="H359" s="30" t="b">
        <f t="shared" si="126"/>
        <v>0</v>
      </c>
      <c r="I359" s="35">
        <v>0.57291666666666663</v>
      </c>
      <c r="J359" s="35">
        <v>0.62083333333333335</v>
      </c>
      <c r="K359" s="35">
        <f t="shared" si="127"/>
        <v>4.7916666666666718E-2</v>
      </c>
      <c r="L359" s="32">
        <v>0.70208333333333339</v>
      </c>
      <c r="M359" s="32">
        <f t="shared" si="128"/>
        <v>0.34027777777777779</v>
      </c>
      <c r="N359" s="23">
        <f t="shared" si="105"/>
        <v>2.1527777777777757E-2</v>
      </c>
      <c r="O359" s="33">
        <f t="shared" si="129"/>
        <v>-0.26388888888888901</v>
      </c>
      <c r="P359" s="67">
        <f>P358+N359</f>
        <v>-0.26388888888888901</v>
      </c>
      <c r="Q359" s="71"/>
      <c r="R359" s="71"/>
    </row>
    <row r="360" spans="2:18" x14ac:dyDescent="0.25">
      <c r="B360" s="45">
        <v>44177</v>
      </c>
      <c r="C360" s="47" t="s">
        <v>9</v>
      </c>
      <c r="D360" s="35">
        <v>0.31388888888888888</v>
      </c>
      <c r="E360" s="35">
        <v>0.4291666666666667</v>
      </c>
      <c r="F360" s="35">
        <v>0.44513888888888892</v>
      </c>
      <c r="G360" s="30">
        <f t="shared" si="125"/>
        <v>1.5972222222222221E-2</v>
      </c>
      <c r="H360" s="30">
        <f t="shared" si="126"/>
        <v>2.0833333333333329E-3</v>
      </c>
      <c r="I360" s="36"/>
      <c r="J360" s="36"/>
      <c r="K360" s="35">
        <f t="shared" si="127"/>
        <v>0</v>
      </c>
      <c r="L360" s="32">
        <v>0.59027777777777779</v>
      </c>
      <c r="M360" s="32">
        <f t="shared" si="128"/>
        <v>0.27430555555555558</v>
      </c>
      <c r="N360" s="23">
        <f t="shared" si="105"/>
        <v>-4.4444444444444453E-2</v>
      </c>
      <c r="O360" s="33">
        <f t="shared" si="129"/>
        <v>-0.30833333333333346</v>
      </c>
      <c r="P360" s="67">
        <f>P359+N360</f>
        <v>-0.30833333333333346</v>
      </c>
      <c r="Q360" s="72">
        <f t="shared" ref="Q360" si="132">SUM(M356:M360)</f>
        <v>1.2854166666666667</v>
      </c>
      <c r="R360" s="72">
        <f t="shared" ref="R360" si="133">Q360/5</f>
        <v>0.25708333333333333</v>
      </c>
    </row>
    <row r="361" spans="2:18" x14ac:dyDescent="0.25">
      <c r="B361" s="46">
        <v>44178</v>
      </c>
      <c r="C361" s="48" t="s">
        <v>21</v>
      </c>
      <c r="D361" s="43"/>
      <c r="E361" s="43"/>
      <c r="F361" s="43"/>
      <c r="G361" s="34"/>
      <c r="H361" s="34"/>
      <c r="I361" s="28"/>
      <c r="J361" s="28"/>
      <c r="K361" s="43"/>
      <c r="L361" s="27"/>
      <c r="M361" s="27"/>
      <c r="N361" s="44"/>
      <c r="O361" s="26"/>
      <c r="P361" s="65"/>
      <c r="Q361" s="71"/>
      <c r="R361" s="71"/>
    </row>
    <row r="362" spans="2:18" x14ac:dyDescent="0.25">
      <c r="B362" s="46">
        <v>44179</v>
      </c>
      <c r="C362" s="48" t="s">
        <v>22</v>
      </c>
      <c r="D362" s="43"/>
      <c r="E362" s="43"/>
      <c r="F362" s="43"/>
      <c r="G362" s="34"/>
      <c r="H362" s="34"/>
      <c r="I362" s="28"/>
      <c r="J362" s="28"/>
      <c r="K362" s="43"/>
      <c r="L362" s="27"/>
      <c r="M362" s="27"/>
      <c r="N362" s="44"/>
      <c r="O362" s="26"/>
      <c r="P362" s="65"/>
      <c r="Q362" s="71"/>
      <c r="R362" s="71"/>
    </row>
    <row r="363" spans="2:18" x14ac:dyDescent="0.25">
      <c r="B363" s="45">
        <v>44180</v>
      </c>
      <c r="C363" s="47" t="s">
        <v>6</v>
      </c>
      <c r="D363" s="35">
        <v>0.34375</v>
      </c>
      <c r="E363" s="35">
        <v>0.4375</v>
      </c>
      <c r="F363" s="35">
        <v>0.4513888888888889</v>
      </c>
      <c r="G363" s="30">
        <f t="shared" si="125"/>
        <v>1.3888888888888895E-2</v>
      </c>
      <c r="H363" s="30" t="b">
        <f t="shared" si="126"/>
        <v>0</v>
      </c>
      <c r="I363" s="35">
        <v>0.625</v>
      </c>
      <c r="J363" s="35">
        <v>0.69791666666666663</v>
      </c>
      <c r="K363" s="35">
        <f t="shared" si="127"/>
        <v>7.291666666666663E-2</v>
      </c>
      <c r="L363" s="32">
        <v>0.75</v>
      </c>
      <c r="M363" s="32">
        <f t="shared" si="128"/>
        <v>0.33333333333333337</v>
      </c>
      <c r="N363" s="23">
        <f t="shared" si="105"/>
        <v>1.4583333333333337E-2</v>
      </c>
      <c r="O363" s="33">
        <f t="shared" si="129"/>
        <v>1.4583333333333337E-2</v>
      </c>
      <c r="P363" s="67">
        <f>P362+N363</f>
        <v>1.4583333333333337E-2</v>
      </c>
      <c r="Q363" s="71"/>
      <c r="R363" s="71"/>
    </row>
    <row r="364" spans="2:18" x14ac:dyDescent="0.25">
      <c r="B364" s="45">
        <v>44181</v>
      </c>
      <c r="C364" s="47" t="s">
        <v>7</v>
      </c>
      <c r="D364" s="35"/>
      <c r="E364" s="35"/>
      <c r="F364" s="35"/>
      <c r="G364" s="30">
        <f t="shared" si="125"/>
        <v>0</v>
      </c>
      <c r="H364" s="30" t="b">
        <f t="shared" si="126"/>
        <v>0</v>
      </c>
      <c r="I364" s="36"/>
      <c r="J364" s="36"/>
      <c r="K364" s="35">
        <f t="shared" si="127"/>
        <v>0</v>
      </c>
      <c r="L364" s="32"/>
      <c r="M364" s="32">
        <f t="shared" si="128"/>
        <v>0</v>
      </c>
      <c r="N364" s="23">
        <f t="shared" ref="N364:N378" si="134">M364-$D$6</f>
        <v>-0.31875000000000003</v>
      </c>
      <c r="O364" s="33">
        <f t="shared" si="129"/>
        <v>-0.3041666666666667</v>
      </c>
      <c r="P364" s="67">
        <f>P363+N364</f>
        <v>-0.3041666666666667</v>
      </c>
      <c r="Q364" s="71"/>
      <c r="R364" s="71"/>
    </row>
    <row r="365" spans="2:18" x14ac:dyDescent="0.25">
      <c r="B365" s="45">
        <v>44182</v>
      </c>
      <c r="C365" s="47" t="s">
        <v>23</v>
      </c>
      <c r="D365" s="35"/>
      <c r="E365" s="35"/>
      <c r="F365" s="35"/>
      <c r="G365" s="30">
        <f t="shared" si="125"/>
        <v>0</v>
      </c>
      <c r="H365" s="30" t="b">
        <f t="shared" si="126"/>
        <v>0</v>
      </c>
      <c r="I365" s="36"/>
      <c r="J365" s="36"/>
      <c r="K365" s="35">
        <f t="shared" si="127"/>
        <v>0</v>
      </c>
      <c r="L365" s="32"/>
      <c r="M365" s="32">
        <f t="shared" si="128"/>
        <v>0</v>
      </c>
      <c r="N365" s="23">
        <f t="shared" si="134"/>
        <v>-0.31875000000000003</v>
      </c>
      <c r="O365" s="33">
        <f t="shared" si="129"/>
        <v>-0.62291666666666679</v>
      </c>
      <c r="P365" s="67">
        <f>P364+N365</f>
        <v>-0.62291666666666679</v>
      </c>
      <c r="Q365" s="71"/>
      <c r="R365" s="71"/>
    </row>
    <row r="366" spans="2:18" x14ac:dyDescent="0.25">
      <c r="B366" s="45">
        <v>44183</v>
      </c>
      <c r="C366" s="47" t="s">
        <v>8</v>
      </c>
      <c r="D366" s="35"/>
      <c r="E366" s="35"/>
      <c r="F366" s="35"/>
      <c r="G366" s="30">
        <f t="shared" si="125"/>
        <v>0</v>
      </c>
      <c r="H366" s="30" t="b">
        <f t="shared" si="126"/>
        <v>0</v>
      </c>
      <c r="I366" s="36"/>
      <c r="J366" s="36"/>
      <c r="K366" s="35">
        <f t="shared" si="127"/>
        <v>0</v>
      </c>
      <c r="L366" s="32"/>
      <c r="M366" s="32">
        <f t="shared" si="128"/>
        <v>0</v>
      </c>
      <c r="N366" s="23">
        <f t="shared" si="134"/>
        <v>-0.31875000000000003</v>
      </c>
      <c r="O366" s="33">
        <f t="shared" si="129"/>
        <v>-0.94166666666666687</v>
      </c>
      <c r="P366" s="67">
        <f>P365+N366</f>
        <v>-0.94166666666666687</v>
      </c>
      <c r="Q366" s="71"/>
      <c r="R366" s="71"/>
    </row>
    <row r="367" spans="2:18" x14ac:dyDescent="0.25">
      <c r="B367" s="45">
        <v>44184</v>
      </c>
      <c r="C367" s="47" t="s">
        <v>9</v>
      </c>
      <c r="D367" s="35"/>
      <c r="E367" s="35"/>
      <c r="F367" s="35"/>
      <c r="G367" s="30">
        <f t="shared" si="125"/>
        <v>0</v>
      </c>
      <c r="H367" s="30" t="b">
        <f t="shared" si="126"/>
        <v>0</v>
      </c>
      <c r="I367" s="36"/>
      <c r="J367" s="35"/>
      <c r="K367" s="35">
        <f t="shared" si="127"/>
        <v>0</v>
      </c>
      <c r="L367" s="32"/>
      <c r="M367" s="32">
        <f t="shared" si="128"/>
        <v>0</v>
      </c>
      <c r="N367" s="23">
        <f t="shared" si="134"/>
        <v>-0.31875000000000003</v>
      </c>
      <c r="O367" s="33">
        <f t="shared" si="129"/>
        <v>-1.260416666666667</v>
      </c>
      <c r="P367" s="67">
        <f>P366+N367</f>
        <v>-1.260416666666667</v>
      </c>
      <c r="Q367" s="72">
        <f t="shared" ref="Q367" si="135">SUM(M363:M367)</f>
        <v>0.33333333333333337</v>
      </c>
      <c r="R367" s="72">
        <f t="shared" ref="R367" si="136">Q367/5</f>
        <v>6.666666666666668E-2</v>
      </c>
    </row>
    <row r="368" spans="2:18" x14ac:dyDescent="0.25">
      <c r="B368" s="46">
        <v>44185</v>
      </c>
      <c r="C368" s="48" t="s">
        <v>21</v>
      </c>
      <c r="D368" s="43"/>
      <c r="E368" s="43"/>
      <c r="F368" s="43"/>
      <c r="G368" s="34"/>
      <c r="H368" s="34"/>
      <c r="I368" s="28"/>
      <c r="J368" s="28"/>
      <c r="K368" s="43"/>
      <c r="L368" s="27"/>
      <c r="M368" s="27"/>
      <c r="N368" s="44"/>
      <c r="O368" s="26"/>
      <c r="P368" s="65"/>
      <c r="Q368" s="71"/>
      <c r="R368" s="71"/>
    </row>
    <row r="369" spans="2:18" x14ac:dyDescent="0.25">
      <c r="B369" s="46">
        <v>44186</v>
      </c>
      <c r="C369" s="48" t="s">
        <v>22</v>
      </c>
      <c r="D369" s="43"/>
      <c r="E369" s="43"/>
      <c r="F369" s="43"/>
      <c r="G369" s="34"/>
      <c r="H369" s="34"/>
      <c r="I369" s="28"/>
      <c r="J369" s="28"/>
      <c r="K369" s="43"/>
      <c r="L369" s="27"/>
      <c r="M369" s="27"/>
      <c r="N369" s="44"/>
      <c r="O369" s="26"/>
      <c r="P369" s="65"/>
      <c r="Q369" s="71"/>
      <c r="R369" s="71"/>
    </row>
    <row r="370" spans="2:18" x14ac:dyDescent="0.25">
      <c r="B370" s="45">
        <v>44187</v>
      </c>
      <c r="C370" s="47" t="s">
        <v>6</v>
      </c>
      <c r="D370" s="35"/>
      <c r="E370" s="35"/>
      <c r="F370" s="35"/>
      <c r="G370" s="30">
        <f t="shared" si="125"/>
        <v>0</v>
      </c>
      <c r="H370" s="30" t="b">
        <f t="shared" si="126"/>
        <v>0</v>
      </c>
      <c r="I370" s="36"/>
      <c r="J370" s="36"/>
      <c r="K370" s="35">
        <f t="shared" si="127"/>
        <v>0</v>
      </c>
      <c r="L370" s="32"/>
      <c r="M370" s="32">
        <f t="shared" si="128"/>
        <v>0</v>
      </c>
      <c r="N370" s="23">
        <f t="shared" si="134"/>
        <v>-0.31875000000000003</v>
      </c>
      <c r="O370" s="33">
        <f t="shared" si="129"/>
        <v>-0.31875000000000003</v>
      </c>
      <c r="P370" s="67">
        <f>P369+N370</f>
        <v>-0.31875000000000003</v>
      </c>
      <c r="Q370" s="71"/>
      <c r="R370" s="71"/>
    </row>
    <row r="371" spans="2:18" x14ac:dyDescent="0.25">
      <c r="B371" s="45">
        <v>44188</v>
      </c>
      <c r="C371" s="47" t="s">
        <v>7</v>
      </c>
      <c r="D371" s="35"/>
      <c r="E371" s="35"/>
      <c r="F371" s="35"/>
      <c r="G371" s="30">
        <f t="shared" si="125"/>
        <v>0</v>
      </c>
      <c r="H371" s="30" t="b">
        <f t="shared" si="126"/>
        <v>0</v>
      </c>
      <c r="I371" s="36"/>
      <c r="J371" s="36"/>
      <c r="K371" s="35">
        <f t="shared" si="127"/>
        <v>0</v>
      </c>
      <c r="L371" s="32"/>
      <c r="M371" s="32">
        <f t="shared" si="128"/>
        <v>0</v>
      </c>
      <c r="N371" s="23">
        <f t="shared" si="134"/>
        <v>-0.31875000000000003</v>
      </c>
      <c r="O371" s="33">
        <f t="shared" si="129"/>
        <v>-0.63750000000000007</v>
      </c>
      <c r="P371" s="67">
        <f>P370+N371</f>
        <v>-0.63750000000000007</v>
      </c>
      <c r="Q371" s="71"/>
      <c r="R371" s="71"/>
    </row>
    <row r="372" spans="2:18" x14ac:dyDescent="0.25">
      <c r="B372" s="45">
        <v>44189</v>
      </c>
      <c r="C372" s="47" t="s">
        <v>23</v>
      </c>
      <c r="D372" s="35"/>
      <c r="E372" s="35"/>
      <c r="F372" s="35"/>
      <c r="G372" s="30">
        <f t="shared" si="125"/>
        <v>0</v>
      </c>
      <c r="H372" s="30" t="b">
        <f t="shared" si="126"/>
        <v>0</v>
      </c>
      <c r="I372" s="36"/>
      <c r="J372" s="36"/>
      <c r="K372" s="35">
        <f t="shared" si="127"/>
        <v>0</v>
      </c>
      <c r="L372" s="32"/>
      <c r="M372" s="32">
        <f t="shared" si="128"/>
        <v>0</v>
      </c>
      <c r="N372" s="23">
        <f t="shared" si="134"/>
        <v>-0.31875000000000003</v>
      </c>
      <c r="O372" s="33">
        <f t="shared" si="129"/>
        <v>-0.95625000000000004</v>
      </c>
      <c r="P372" s="67">
        <f>P371+N372</f>
        <v>-0.95625000000000004</v>
      </c>
      <c r="Q372" s="71"/>
      <c r="R372" s="71"/>
    </row>
    <row r="373" spans="2:18" x14ac:dyDescent="0.25">
      <c r="B373" s="45">
        <v>44190</v>
      </c>
      <c r="C373" s="47" t="s">
        <v>8</v>
      </c>
      <c r="D373" s="35"/>
      <c r="E373" s="35"/>
      <c r="F373" s="35"/>
      <c r="G373" s="30">
        <f t="shared" si="125"/>
        <v>0</v>
      </c>
      <c r="H373" s="30" t="b">
        <f t="shared" si="126"/>
        <v>0</v>
      </c>
      <c r="I373" s="36"/>
      <c r="J373" s="36"/>
      <c r="K373" s="35">
        <f t="shared" si="127"/>
        <v>0</v>
      </c>
      <c r="L373" s="32"/>
      <c r="M373" s="32">
        <f t="shared" si="128"/>
        <v>0</v>
      </c>
      <c r="N373" s="23">
        <f t="shared" si="134"/>
        <v>-0.31875000000000003</v>
      </c>
      <c r="O373" s="33">
        <f t="shared" si="129"/>
        <v>-1.2750000000000001</v>
      </c>
      <c r="P373" s="67">
        <f>P372+N373</f>
        <v>-1.2750000000000001</v>
      </c>
      <c r="Q373" s="71"/>
      <c r="R373" s="71"/>
    </row>
    <row r="374" spans="2:18" x14ac:dyDescent="0.25">
      <c r="B374" s="45">
        <v>44191</v>
      </c>
      <c r="C374" s="47" t="s">
        <v>9</v>
      </c>
      <c r="D374" s="35"/>
      <c r="E374" s="35"/>
      <c r="F374" s="35"/>
      <c r="G374" s="30">
        <f t="shared" si="125"/>
        <v>0</v>
      </c>
      <c r="H374" s="30" t="b">
        <f t="shared" si="126"/>
        <v>0</v>
      </c>
      <c r="I374" s="36"/>
      <c r="J374" s="36"/>
      <c r="K374" s="35">
        <f t="shared" si="127"/>
        <v>0</v>
      </c>
      <c r="L374" s="32"/>
      <c r="M374" s="32">
        <f t="shared" si="128"/>
        <v>0</v>
      </c>
      <c r="N374" s="23">
        <f t="shared" si="134"/>
        <v>-0.31875000000000003</v>
      </c>
      <c r="O374" s="33">
        <f t="shared" si="129"/>
        <v>-1.5937500000000002</v>
      </c>
      <c r="P374" s="67">
        <f>P373+N374</f>
        <v>-1.5937500000000002</v>
      </c>
      <c r="Q374" s="72">
        <f t="shared" ref="Q374" si="137">SUM(M370:M374)</f>
        <v>0</v>
      </c>
      <c r="R374" s="72">
        <f t="shared" ref="R374" si="138">Q374/5</f>
        <v>0</v>
      </c>
    </row>
    <row r="375" spans="2:18" x14ac:dyDescent="0.25">
      <c r="B375" s="46">
        <v>44192</v>
      </c>
      <c r="C375" s="48" t="s">
        <v>21</v>
      </c>
      <c r="D375" s="43"/>
      <c r="E375" s="43"/>
      <c r="F375" s="43"/>
      <c r="G375" s="34"/>
      <c r="H375" s="34"/>
      <c r="I375" s="28"/>
      <c r="J375" s="28"/>
      <c r="K375" s="43"/>
      <c r="L375" s="27"/>
      <c r="M375" s="27"/>
      <c r="N375" s="44"/>
      <c r="O375" s="26"/>
      <c r="P375" s="65"/>
      <c r="Q375" s="71"/>
      <c r="R375" s="71"/>
    </row>
    <row r="376" spans="2:18" x14ac:dyDescent="0.25">
      <c r="B376" s="46">
        <v>44193</v>
      </c>
      <c r="C376" s="48" t="s">
        <v>22</v>
      </c>
      <c r="D376" s="43"/>
      <c r="E376" s="43"/>
      <c r="F376" s="43"/>
      <c r="G376" s="34"/>
      <c r="H376" s="34"/>
      <c r="I376" s="28"/>
      <c r="J376" s="28"/>
      <c r="K376" s="43"/>
      <c r="L376" s="27"/>
      <c r="M376" s="27"/>
      <c r="N376" s="44"/>
      <c r="O376" s="26"/>
      <c r="P376" s="65"/>
      <c r="Q376" s="71"/>
      <c r="R376" s="71"/>
    </row>
    <row r="377" spans="2:18" x14ac:dyDescent="0.25">
      <c r="B377" s="45">
        <v>44194</v>
      </c>
      <c r="C377" s="47" t="s">
        <v>6</v>
      </c>
      <c r="D377" s="35"/>
      <c r="E377" s="35"/>
      <c r="F377" s="35"/>
      <c r="G377" s="30">
        <f t="shared" si="125"/>
        <v>0</v>
      </c>
      <c r="H377" s="30" t="b">
        <f t="shared" si="126"/>
        <v>0</v>
      </c>
      <c r="I377" s="36"/>
      <c r="J377" s="36"/>
      <c r="K377" s="35">
        <f t="shared" si="127"/>
        <v>0</v>
      </c>
      <c r="L377" s="32"/>
      <c r="M377" s="32">
        <f t="shared" si="128"/>
        <v>0</v>
      </c>
      <c r="N377" s="23">
        <f t="shared" si="134"/>
        <v>-0.31875000000000003</v>
      </c>
      <c r="O377" s="33">
        <f t="shared" si="129"/>
        <v>-0.31875000000000003</v>
      </c>
      <c r="P377" s="67">
        <f>P376+N377</f>
        <v>-0.31875000000000003</v>
      </c>
      <c r="Q377" s="71"/>
      <c r="R377" s="71"/>
    </row>
    <row r="378" spans="2:18" ht="15.75" thickBot="1" x14ac:dyDescent="0.3">
      <c r="B378" s="50">
        <v>44195</v>
      </c>
      <c r="C378" s="49" t="s">
        <v>7</v>
      </c>
      <c r="D378" s="51"/>
      <c r="E378" s="51"/>
      <c r="F378" s="51"/>
      <c r="G378" s="52">
        <f t="shared" si="125"/>
        <v>0</v>
      </c>
      <c r="H378" s="52" t="b">
        <f t="shared" si="126"/>
        <v>0</v>
      </c>
      <c r="I378" s="53"/>
      <c r="J378" s="53"/>
      <c r="K378" s="51">
        <f t="shared" si="127"/>
        <v>0</v>
      </c>
      <c r="L378" s="54"/>
      <c r="M378" s="54">
        <f t="shared" si="128"/>
        <v>0</v>
      </c>
      <c r="N378" s="55">
        <f t="shared" si="134"/>
        <v>-0.31875000000000003</v>
      </c>
      <c r="O378" s="56">
        <f t="shared" si="129"/>
        <v>-0.63750000000000007</v>
      </c>
      <c r="P378" s="68">
        <f>P377+N378</f>
        <v>-0.63750000000000007</v>
      </c>
      <c r="Q378" s="72">
        <f>SUM(M377:M378)</f>
        <v>0</v>
      </c>
      <c r="R378" s="71"/>
    </row>
    <row r="379" spans="2:18" x14ac:dyDescent="0.25">
      <c r="B379" s="57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</sheetData>
  <mergeCells count="4">
    <mergeCell ref="B6:C6"/>
    <mergeCell ref="D11:H11"/>
    <mergeCell ref="I11:K11"/>
    <mergeCell ref="B12:C12"/>
  </mergeCells>
  <conditionalFormatting sqref="P13:P4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P43:P37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1111-98D4-4825-8C3A-29ACBC0301FE}">
  <sheetPr codeName="Hoja3"/>
  <dimension ref="A1:K41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14.42578125" customWidth="1"/>
    <col min="2" max="2" width="16" customWidth="1"/>
    <col min="3" max="3" width="19.5703125" customWidth="1"/>
    <col min="4" max="4" width="19" customWidth="1"/>
    <col min="5" max="5" width="14.42578125" customWidth="1"/>
    <col min="6" max="6" width="14.85546875" customWidth="1"/>
    <col min="7" max="7" width="12.7109375" customWidth="1"/>
    <col min="8" max="10" width="11.140625" customWidth="1"/>
  </cols>
  <sheetData>
    <row r="1" spans="1:11" ht="30" customHeight="1" x14ac:dyDescent="0.25">
      <c r="B1" s="88"/>
      <c r="C1" s="88"/>
      <c r="D1" s="88"/>
      <c r="E1" s="88"/>
      <c r="F1" s="89"/>
      <c r="G1" s="89"/>
      <c r="H1" s="89"/>
      <c r="I1" s="89"/>
      <c r="J1" s="89"/>
      <c r="K1" s="88"/>
    </row>
    <row r="2" spans="1:11" ht="30" customHeight="1" x14ac:dyDescent="0.25">
      <c r="A2" s="90" t="s">
        <v>35</v>
      </c>
      <c r="B2" s="91" t="s">
        <v>36</v>
      </c>
      <c r="C2" s="88"/>
      <c r="D2" s="88"/>
      <c r="E2" s="88"/>
      <c r="F2" s="89"/>
      <c r="G2" s="89"/>
      <c r="H2" s="89"/>
      <c r="I2" s="89"/>
      <c r="J2" s="89"/>
      <c r="K2" s="92"/>
    </row>
    <row r="3" spans="1:11" ht="30" customHeight="1" x14ac:dyDescent="0.25">
      <c r="A3" s="90" t="s">
        <v>37</v>
      </c>
      <c r="B3" s="93">
        <v>0</v>
      </c>
      <c r="C3" s="94"/>
      <c r="D3" s="94"/>
      <c r="E3" s="88"/>
      <c r="F3" s="89"/>
      <c r="G3" s="89"/>
      <c r="H3" s="89"/>
      <c r="J3" s="89"/>
    </row>
    <row r="4" spans="1:11" ht="30" customHeight="1" x14ac:dyDescent="0.25">
      <c r="B4" s="88"/>
      <c r="C4" s="88"/>
      <c r="D4" s="88"/>
      <c r="E4" s="88"/>
      <c r="F4" s="89"/>
      <c r="G4" s="89"/>
      <c r="H4" s="89"/>
      <c r="I4" s="95"/>
      <c r="J4" s="89"/>
      <c r="K4" s="96"/>
    </row>
    <row r="5" spans="1:11" x14ac:dyDescent="0.25">
      <c r="B5" s="88"/>
      <c r="C5" s="88"/>
      <c r="D5" s="88"/>
      <c r="E5" s="88"/>
      <c r="F5" s="89"/>
      <c r="G5" s="89"/>
      <c r="H5" s="89"/>
      <c r="I5" s="96"/>
      <c r="J5" s="89"/>
      <c r="K5" s="96"/>
    </row>
    <row r="6" spans="1:11" x14ac:dyDescent="0.25">
      <c r="B6" s="88"/>
      <c r="C6" s="88"/>
      <c r="D6" s="88"/>
      <c r="E6" s="88"/>
      <c r="F6" s="89"/>
      <c r="G6" s="89"/>
      <c r="H6" s="89"/>
      <c r="I6" s="97"/>
      <c r="J6" s="89"/>
      <c r="K6" s="88"/>
    </row>
    <row r="7" spans="1:11" ht="16.5" thickBot="1" x14ac:dyDescent="0.3">
      <c r="A7" s="98" t="s">
        <v>38</v>
      </c>
      <c r="B7" s="99" t="s">
        <v>39</v>
      </c>
      <c r="C7" s="99" t="s">
        <v>40</v>
      </c>
      <c r="D7" s="99" t="s">
        <v>41</v>
      </c>
      <c r="E7" s="99" t="s">
        <v>42</v>
      </c>
      <c r="F7" s="100" t="s">
        <v>43</v>
      </c>
      <c r="G7" s="100" t="s">
        <v>44</v>
      </c>
      <c r="H7" s="89"/>
      <c r="J7" s="89"/>
      <c r="K7" s="101"/>
    </row>
    <row r="8" spans="1:11" ht="16.5" thickBot="1" x14ac:dyDescent="0.3">
      <c r="A8" s="102" t="s">
        <v>6</v>
      </c>
      <c r="B8" s="103">
        <v>0.34375</v>
      </c>
      <c r="C8" s="104">
        <v>0.625</v>
      </c>
      <c r="D8" s="103">
        <v>0.69791666666666663</v>
      </c>
      <c r="E8" s="104">
        <v>0.75</v>
      </c>
      <c r="F8" s="105">
        <f t="shared" ref="F8:F14" si="0">SUM(C8-B8)+(E8-D8)</f>
        <v>0.33333333333333337</v>
      </c>
      <c r="G8" s="106">
        <f>SUM(F8*$B$3)*24</f>
        <v>0</v>
      </c>
      <c r="H8" s="107"/>
      <c r="I8" s="108"/>
      <c r="J8" s="107"/>
      <c r="K8" s="101"/>
    </row>
    <row r="9" spans="1:11" ht="16.5" thickBot="1" x14ac:dyDescent="0.3">
      <c r="A9" s="109" t="s">
        <v>7</v>
      </c>
      <c r="B9" s="103">
        <v>0.34375</v>
      </c>
      <c r="C9" s="110">
        <v>0.625</v>
      </c>
      <c r="D9" s="103">
        <v>0.69791666666666663</v>
      </c>
      <c r="E9" s="110">
        <v>0.75</v>
      </c>
      <c r="F9" s="112">
        <f t="shared" si="0"/>
        <v>0.33333333333333337</v>
      </c>
      <c r="G9" s="113">
        <f t="shared" ref="G9:G14" si="1">SUM(F9*$B$3)*24</f>
        <v>0</v>
      </c>
      <c r="H9" s="107"/>
      <c r="J9" s="107"/>
      <c r="K9" s="101"/>
    </row>
    <row r="10" spans="1:11" ht="16.5" thickBot="1" x14ac:dyDescent="0.3">
      <c r="A10" s="109" t="s">
        <v>23</v>
      </c>
      <c r="B10" s="103">
        <v>0.34375</v>
      </c>
      <c r="C10" s="110">
        <v>0.625</v>
      </c>
      <c r="D10" s="103">
        <v>0.69791666666666663</v>
      </c>
      <c r="E10" s="110">
        <v>0.75</v>
      </c>
      <c r="F10" s="112">
        <f t="shared" si="0"/>
        <v>0.33333333333333337</v>
      </c>
      <c r="G10" s="113">
        <f t="shared" si="1"/>
        <v>0</v>
      </c>
      <c r="H10" s="107"/>
      <c r="I10" s="95"/>
      <c r="J10" s="107"/>
      <c r="K10" s="101"/>
    </row>
    <row r="11" spans="1:11" ht="16.5" thickBot="1" x14ac:dyDescent="0.3">
      <c r="A11" s="109" t="s">
        <v>8</v>
      </c>
      <c r="B11" s="103">
        <v>0.34375</v>
      </c>
      <c r="C11" s="110">
        <v>0.625</v>
      </c>
      <c r="D11" s="103">
        <v>0.69791666666666663</v>
      </c>
      <c r="E11" s="110">
        <v>0.75</v>
      </c>
      <c r="F11" s="112">
        <f t="shared" si="0"/>
        <v>0.33333333333333337</v>
      </c>
      <c r="G11" s="113">
        <f t="shared" si="1"/>
        <v>0</v>
      </c>
      <c r="H11" s="107"/>
      <c r="I11" s="95"/>
      <c r="J11" s="107"/>
      <c r="K11" s="114"/>
    </row>
    <row r="12" spans="1:11" ht="20.100000000000001" customHeight="1" x14ac:dyDescent="0.25">
      <c r="A12" s="109" t="s">
        <v>9</v>
      </c>
      <c r="B12" s="103">
        <v>0.3263888888888889</v>
      </c>
      <c r="C12" s="111"/>
      <c r="D12" s="111"/>
      <c r="E12" s="110">
        <v>0.58333333333333337</v>
      </c>
      <c r="F12" s="112">
        <f t="shared" si="0"/>
        <v>0.25694444444444448</v>
      </c>
      <c r="G12" s="113">
        <f t="shared" si="1"/>
        <v>0</v>
      </c>
      <c r="H12" s="107"/>
      <c r="J12" s="107"/>
    </row>
    <row r="13" spans="1:11" ht="20.100000000000001" customHeight="1" x14ac:dyDescent="0.25">
      <c r="A13" s="109" t="s">
        <v>21</v>
      </c>
      <c r="B13" s="111"/>
      <c r="C13" s="111"/>
      <c r="D13" s="111"/>
      <c r="E13" s="111"/>
      <c r="F13" s="112">
        <f t="shared" si="0"/>
        <v>0</v>
      </c>
      <c r="G13" s="113">
        <f t="shared" si="1"/>
        <v>0</v>
      </c>
      <c r="H13" s="107"/>
      <c r="I13" s="95"/>
      <c r="J13" s="107"/>
    </row>
    <row r="14" spans="1:11" ht="20.100000000000001" customHeight="1" x14ac:dyDescent="0.25">
      <c r="A14" s="109" t="s">
        <v>22</v>
      </c>
      <c r="B14" s="111"/>
      <c r="C14" s="111"/>
      <c r="D14" s="111"/>
      <c r="E14" s="111"/>
      <c r="F14" s="112">
        <f t="shared" si="0"/>
        <v>0</v>
      </c>
      <c r="G14" s="113">
        <f t="shared" si="1"/>
        <v>0</v>
      </c>
      <c r="H14" s="107"/>
      <c r="J14" s="107"/>
    </row>
    <row r="15" spans="1:11" ht="20.100000000000001" customHeight="1" x14ac:dyDescent="0.25">
      <c r="B15" s="115"/>
      <c r="C15" s="116"/>
      <c r="D15" s="117"/>
      <c r="E15" s="115"/>
      <c r="F15" s="118"/>
      <c r="G15" s="107"/>
      <c r="H15" s="107"/>
      <c r="I15" s="107"/>
      <c r="J15" s="107"/>
    </row>
    <row r="16" spans="1:11" ht="19.5" thickBot="1" x14ac:dyDescent="0.35">
      <c r="B16" s="119"/>
      <c r="C16" s="120"/>
      <c r="D16" s="120"/>
      <c r="E16" s="121" t="s">
        <v>45</v>
      </c>
      <c r="F16" s="122">
        <f>SUM(F8:F14)</f>
        <v>1.5902777777777779</v>
      </c>
      <c r="G16" s="123">
        <f>SUM(G8:G14)</f>
        <v>0</v>
      </c>
      <c r="H16" s="107"/>
      <c r="I16" s="107"/>
      <c r="J16" s="107"/>
    </row>
    <row r="17" spans="1:10" x14ac:dyDescent="0.25">
      <c r="B17" s="88"/>
      <c r="C17" s="88"/>
      <c r="D17" s="88"/>
      <c r="E17" s="88"/>
      <c r="F17" s="89"/>
      <c r="G17" s="89"/>
      <c r="H17" s="89"/>
      <c r="I17" s="89"/>
      <c r="J17" s="89"/>
    </row>
    <row r="18" spans="1:10" x14ac:dyDescent="0.25">
      <c r="B18" s="88"/>
      <c r="C18" s="88"/>
      <c r="D18" s="88"/>
      <c r="E18" s="88"/>
      <c r="F18" s="89"/>
      <c r="G18" s="89"/>
      <c r="H18" s="89"/>
      <c r="I18" s="89"/>
      <c r="J18" s="89"/>
    </row>
    <row r="19" spans="1:10" x14ac:dyDescent="0.25">
      <c r="B19" s="88"/>
      <c r="C19" s="88"/>
      <c r="D19" s="88"/>
      <c r="E19" s="88"/>
      <c r="F19" s="89"/>
      <c r="G19" s="89"/>
      <c r="H19" s="89"/>
      <c r="I19" s="89"/>
      <c r="J19" s="89"/>
    </row>
    <row r="20" spans="1:10" x14ac:dyDescent="0.25">
      <c r="B20" s="88"/>
      <c r="C20" s="88"/>
      <c r="D20" s="88"/>
      <c r="E20" s="88"/>
      <c r="F20" s="89"/>
      <c r="G20" s="89"/>
      <c r="H20" s="89"/>
      <c r="I20" s="89"/>
      <c r="J20" s="89"/>
    </row>
    <row r="22" spans="1:10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</row>
    <row r="25" spans="1:10" x14ac:dyDescent="0.25">
      <c r="A25" t="s">
        <v>46</v>
      </c>
    </row>
    <row r="26" spans="1:10" x14ac:dyDescent="0.25">
      <c r="A26" s="124" t="s">
        <v>47</v>
      </c>
    </row>
    <row r="28" spans="1:10" x14ac:dyDescent="0.25">
      <c r="A28" t="s">
        <v>48</v>
      </c>
    </row>
    <row r="29" spans="1:10" x14ac:dyDescent="0.25">
      <c r="A29" s="125" t="s">
        <v>49</v>
      </c>
      <c r="B29" s="125" t="s">
        <v>50</v>
      </c>
      <c r="C29" s="125"/>
      <c r="D29" s="126"/>
    </row>
    <row r="30" spans="1:10" x14ac:dyDescent="0.25">
      <c r="A30" s="125" t="s">
        <v>51</v>
      </c>
      <c r="B30" s="125" t="s">
        <v>52</v>
      </c>
      <c r="C30" s="125"/>
    </row>
    <row r="32" spans="1:10" x14ac:dyDescent="0.25">
      <c r="A32" s="127" t="s">
        <v>53</v>
      </c>
    </row>
    <row r="33" spans="1:2" x14ac:dyDescent="0.25">
      <c r="A33" s="124" t="s">
        <v>54</v>
      </c>
    </row>
    <row r="34" spans="1:2" x14ac:dyDescent="0.25">
      <c r="A34" s="124"/>
      <c r="B34" s="124"/>
    </row>
    <row r="41" spans="1:2" x14ac:dyDescent="0.25">
      <c r="A41" s="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A986-B45B-4B3A-ABF3-F970F07673F2}">
  <sheetPr codeName="Hoja4"/>
  <dimension ref="A1:I41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23.5703125" customWidth="1"/>
    <col min="2" max="2" width="22.85546875" bestFit="1" customWidth="1"/>
    <col min="3" max="3" width="18.85546875" bestFit="1" customWidth="1"/>
    <col min="4" max="4" width="17.42578125" bestFit="1" customWidth="1"/>
    <col min="5" max="5" width="14.42578125" customWidth="1"/>
    <col min="6" max="6" width="14.85546875" customWidth="1"/>
    <col min="7" max="7" width="12.7109375" customWidth="1"/>
    <col min="8" max="9" width="11.140625" customWidth="1"/>
  </cols>
  <sheetData>
    <row r="1" spans="1:9" ht="30" customHeight="1" x14ac:dyDescent="0.25">
      <c r="B1" s="88"/>
      <c r="C1" s="88"/>
      <c r="D1" s="88"/>
      <c r="E1" s="88"/>
      <c r="F1" s="89"/>
      <c r="G1" s="89"/>
      <c r="H1" s="89"/>
      <c r="I1" s="89"/>
    </row>
    <row r="2" spans="1:9" ht="30" customHeight="1" x14ac:dyDescent="0.25">
      <c r="A2" s="90" t="s">
        <v>35</v>
      </c>
      <c r="B2" s="91" t="s">
        <v>55</v>
      </c>
      <c r="C2" s="88"/>
      <c r="D2" s="88"/>
      <c r="E2" s="88"/>
      <c r="F2" s="89"/>
      <c r="G2" s="89"/>
      <c r="H2" s="89"/>
      <c r="I2" s="89"/>
    </row>
    <row r="3" spans="1:9" ht="30" customHeight="1" x14ac:dyDescent="0.25">
      <c r="A3" s="90" t="s">
        <v>37</v>
      </c>
      <c r="B3" s="93">
        <v>0</v>
      </c>
      <c r="C3" s="94"/>
      <c r="D3" s="94"/>
      <c r="E3" s="88"/>
      <c r="F3" s="89"/>
      <c r="G3" s="89"/>
      <c r="H3" s="89"/>
    </row>
    <row r="4" spans="1:9" ht="30" customHeight="1" x14ac:dyDescent="0.25">
      <c r="B4" s="88"/>
      <c r="C4" s="88"/>
      <c r="D4" s="88"/>
      <c r="E4" s="88"/>
      <c r="F4" s="89"/>
      <c r="G4" s="89"/>
      <c r="H4" s="89"/>
      <c r="I4" s="95"/>
    </row>
    <row r="5" spans="1:9" x14ac:dyDescent="0.25">
      <c r="B5" s="88"/>
      <c r="C5" s="88"/>
      <c r="D5" s="88"/>
      <c r="E5" s="88"/>
      <c r="F5" s="89"/>
      <c r="G5" s="89"/>
      <c r="H5" s="89"/>
      <c r="I5" s="96"/>
    </row>
    <row r="6" spans="1:9" x14ac:dyDescent="0.25">
      <c r="B6" s="88"/>
      <c r="C6" s="88"/>
      <c r="D6" s="88"/>
      <c r="E6" s="88"/>
      <c r="F6" s="89"/>
      <c r="G6" s="89"/>
      <c r="H6" s="89"/>
      <c r="I6" s="97"/>
    </row>
    <row r="7" spans="1:9" ht="15.75" thickBot="1" x14ac:dyDescent="0.3">
      <c r="A7" s="98" t="s">
        <v>38</v>
      </c>
      <c r="B7" s="99" t="s">
        <v>39</v>
      </c>
      <c r="C7" s="99" t="s">
        <v>40</v>
      </c>
      <c r="D7" s="99" t="s">
        <v>41</v>
      </c>
      <c r="E7" s="99" t="s">
        <v>42</v>
      </c>
      <c r="F7" s="100" t="s">
        <v>43</v>
      </c>
      <c r="G7" s="100" t="s">
        <v>44</v>
      </c>
      <c r="H7" s="89"/>
    </row>
    <row r="8" spans="1:9" ht="15.75" thickBot="1" x14ac:dyDescent="0.3">
      <c r="A8" s="102" t="s">
        <v>6</v>
      </c>
      <c r="B8" s="104">
        <v>0.3125</v>
      </c>
      <c r="C8" s="103">
        <v>0.57291666666666663</v>
      </c>
      <c r="D8" s="104">
        <v>0.625</v>
      </c>
      <c r="E8" s="103">
        <v>0.6958333333333333</v>
      </c>
      <c r="F8" s="105">
        <f t="shared" ref="F8:F14" si="0">SUM(C8-B8)+(E8-D8)</f>
        <v>0.33124999999999993</v>
      </c>
      <c r="G8" s="106">
        <f>SUM(F8*$B$3)*24</f>
        <v>0</v>
      </c>
      <c r="H8" s="107"/>
      <c r="I8" s="108"/>
    </row>
    <row r="9" spans="1:9" ht="15.75" thickBot="1" x14ac:dyDescent="0.3">
      <c r="A9" s="109" t="s">
        <v>7</v>
      </c>
      <c r="B9" s="104">
        <v>0.3125</v>
      </c>
      <c r="C9" s="111">
        <v>0.57291666666666663</v>
      </c>
      <c r="D9" s="110">
        <v>0.625</v>
      </c>
      <c r="E9" s="111">
        <v>0.6958333333333333</v>
      </c>
      <c r="F9" s="112">
        <f t="shared" si="0"/>
        <v>0.33124999999999993</v>
      </c>
      <c r="G9" s="113">
        <f t="shared" ref="G9:G14" si="1">SUM(F9*$B$3)*24</f>
        <v>0</v>
      </c>
      <c r="H9" s="107"/>
    </row>
    <row r="10" spans="1:9" ht="15.75" thickBot="1" x14ac:dyDescent="0.3">
      <c r="A10" s="109" t="s">
        <v>23</v>
      </c>
      <c r="B10" s="104">
        <v>0.3125</v>
      </c>
      <c r="C10" s="111">
        <v>0.57291666666666663</v>
      </c>
      <c r="D10" s="110">
        <v>0.625</v>
      </c>
      <c r="E10" s="111">
        <v>0.6958333333333333</v>
      </c>
      <c r="F10" s="112">
        <f t="shared" si="0"/>
        <v>0.33124999999999993</v>
      </c>
      <c r="G10" s="113">
        <f t="shared" si="1"/>
        <v>0</v>
      </c>
      <c r="H10" s="107"/>
      <c r="I10" s="95"/>
    </row>
    <row r="11" spans="1:9" ht="15.75" thickBot="1" x14ac:dyDescent="0.3">
      <c r="A11" s="109" t="s">
        <v>8</v>
      </c>
      <c r="B11" s="104">
        <v>0.3125</v>
      </c>
      <c r="C11" s="111">
        <v>0.5708333333333333</v>
      </c>
      <c r="D11" s="110">
        <v>0.625</v>
      </c>
      <c r="E11" s="111">
        <v>0.6958333333333333</v>
      </c>
      <c r="F11" s="112">
        <f t="shared" si="0"/>
        <v>0.32916666666666661</v>
      </c>
      <c r="G11" s="113">
        <f t="shared" si="1"/>
        <v>0</v>
      </c>
      <c r="H11" s="107"/>
      <c r="I11" s="95"/>
    </row>
    <row r="12" spans="1:9" ht="20.100000000000001" customHeight="1" x14ac:dyDescent="0.25">
      <c r="A12" s="109" t="s">
        <v>9</v>
      </c>
      <c r="B12" s="104">
        <v>0.3125</v>
      </c>
      <c r="C12" s="111"/>
      <c r="D12" s="111"/>
      <c r="E12" s="111">
        <v>0.58333333333333337</v>
      </c>
      <c r="F12" s="112">
        <f t="shared" si="0"/>
        <v>0.27083333333333337</v>
      </c>
      <c r="G12" s="113">
        <f t="shared" si="1"/>
        <v>0</v>
      </c>
      <c r="H12" s="107"/>
    </row>
    <row r="13" spans="1:9" ht="20.100000000000001" customHeight="1" x14ac:dyDescent="0.25">
      <c r="A13" s="109" t="s">
        <v>21</v>
      </c>
      <c r="B13" s="111"/>
      <c r="C13" s="111"/>
      <c r="D13" s="111"/>
      <c r="E13" s="111"/>
      <c r="F13" s="112">
        <f t="shared" si="0"/>
        <v>0</v>
      </c>
      <c r="G13" s="113">
        <f t="shared" si="1"/>
        <v>0</v>
      </c>
      <c r="H13" s="107"/>
      <c r="I13" s="95"/>
    </row>
    <row r="14" spans="1:9" ht="20.100000000000001" customHeight="1" x14ac:dyDescent="0.25">
      <c r="A14" s="109" t="s">
        <v>22</v>
      </c>
      <c r="B14" s="111"/>
      <c r="C14" s="111"/>
      <c r="D14" s="111"/>
      <c r="E14" s="111"/>
      <c r="F14" s="112">
        <f t="shared" si="0"/>
        <v>0</v>
      </c>
      <c r="G14" s="113">
        <f t="shared" si="1"/>
        <v>0</v>
      </c>
      <c r="H14" s="107"/>
    </row>
    <row r="15" spans="1:9" ht="20.100000000000001" customHeight="1" x14ac:dyDescent="0.25">
      <c r="B15" s="115"/>
      <c r="C15" s="116"/>
      <c r="D15" s="117"/>
      <c r="E15" s="115"/>
      <c r="F15" s="118"/>
      <c r="G15" s="107"/>
      <c r="H15" s="107"/>
      <c r="I15" s="107"/>
    </row>
    <row r="16" spans="1:9" ht="19.5" thickBot="1" x14ac:dyDescent="0.35">
      <c r="B16" s="119"/>
      <c r="C16" s="120"/>
      <c r="D16" s="120"/>
      <c r="E16" s="121" t="s">
        <v>45</v>
      </c>
      <c r="F16" s="122">
        <f>SUM(F8:F14)</f>
        <v>1.59375</v>
      </c>
      <c r="G16" s="123">
        <f>SUM(G8:G14)</f>
        <v>0</v>
      </c>
      <c r="H16" s="107"/>
      <c r="I16" s="107"/>
    </row>
    <row r="17" spans="1:9" x14ac:dyDescent="0.25">
      <c r="B17" s="88"/>
      <c r="C17" s="88"/>
      <c r="D17" s="88"/>
      <c r="E17" s="88"/>
      <c r="F17" s="89"/>
      <c r="G17" s="89"/>
      <c r="H17" s="89"/>
      <c r="I17" s="89"/>
    </row>
    <row r="18" spans="1:9" x14ac:dyDescent="0.25">
      <c r="B18" s="88"/>
      <c r="C18" s="88"/>
      <c r="D18" s="88"/>
      <c r="E18" s="88"/>
      <c r="F18" s="89"/>
      <c r="G18" s="89"/>
      <c r="H18" s="89"/>
      <c r="I18" s="89"/>
    </row>
    <row r="19" spans="1:9" x14ac:dyDescent="0.25">
      <c r="B19" s="88"/>
      <c r="C19" s="88"/>
      <c r="D19" s="88"/>
      <c r="E19" s="88"/>
      <c r="F19" s="89"/>
      <c r="G19" s="89"/>
      <c r="H19" s="89"/>
      <c r="I19" s="89"/>
    </row>
    <row r="20" spans="1:9" x14ac:dyDescent="0.25">
      <c r="B20" s="88"/>
      <c r="C20" s="88"/>
      <c r="D20" s="88"/>
      <c r="E20" s="88"/>
      <c r="F20" s="89"/>
      <c r="G20" s="89"/>
      <c r="H20" s="89"/>
      <c r="I20" s="89"/>
    </row>
    <row r="22" spans="1:9" x14ac:dyDescent="0.25">
      <c r="A22" s="92"/>
      <c r="B22" s="92"/>
      <c r="C22" s="92"/>
      <c r="D22" s="92"/>
      <c r="E22" s="92"/>
      <c r="F22" s="92"/>
      <c r="G22" s="92"/>
      <c r="H22" s="92"/>
      <c r="I22" s="92"/>
    </row>
    <row r="23" spans="1:9" x14ac:dyDescent="0.25">
      <c r="A23" s="92"/>
      <c r="B23" s="92"/>
      <c r="C23" s="92"/>
      <c r="D23" s="92"/>
      <c r="E23" s="92"/>
      <c r="F23" s="92"/>
      <c r="G23" s="92"/>
      <c r="H23" s="92"/>
      <c r="I23" s="92"/>
    </row>
    <row r="25" spans="1:9" x14ac:dyDescent="0.25">
      <c r="A25" t="s">
        <v>46</v>
      </c>
    </row>
    <row r="26" spans="1:9" x14ac:dyDescent="0.25">
      <c r="A26" s="124" t="s">
        <v>47</v>
      </c>
    </row>
    <row r="28" spans="1:9" x14ac:dyDescent="0.25">
      <c r="A28" t="s">
        <v>48</v>
      </c>
    </row>
    <row r="29" spans="1:9" x14ac:dyDescent="0.25">
      <c r="A29" s="125" t="s">
        <v>49</v>
      </c>
      <c r="B29" s="125" t="s">
        <v>50</v>
      </c>
      <c r="C29" s="125"/>
      <c r="D29" s="126"/>
    </row>
    <row r="30" spans="1:9" x14ac:dyDescent="0.25">
      <c r="A30" s="125" t="s">
        <v>51</v>
      </c>
      <c r="B30" s="125" t="s">
        <v>52</v>
      </c>
      <c r="C30" s="125"/>
    </row>
    <row r="32" spans="1:9" x14ac:dyDescent="0.25">
      <c r="A32" s="127" t="s">
        <v>53</v>
      </c>
    </row>
    <row r="33" spans="1:2" x14ac:dyDescent="0.25">
      <c r="A33" s="124" t="s">
        <v>54</v>
      </c>
    </row>
    <row r="34" spans="1:2" x14ac:dyDescent="0.25">
      <c r="A34" s="124"/>
      <c r="B34" s="124"/>
    </row>
    <row r="41" spans="1:2" x14ac:dyDescent="0.25">
      <c r="A4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B707-0BEA-45DC-A2DA-C36617D395B9}">
  <sheetPr codeName="Hoja5"/>
  <dimension ref="A1:N33"/>
  <sheetViews>
    <sheetView workbookViewId="0">
      <selection activeCell="J27" sqref="J27"/>
    </sheetView>
  </sheetViews>
  <sheetFormatPr baseColWidth="10" defaultColWidth="9.140625" defaultRowHeight="15" x14ac:dyDescent="0.25"/>
  <cols>
    <col min="1" max="1" width="23" customWidth="1"/>
    <col min="2" max="2" width="16" customWidth="1"/>
    <col min="3" max="3" width="19.5703125" customWidth="1"/>
    <col min="4" max="4" width="19" customWidth="1"/>
    <col min="5" max="5" width="14.42578125" customWidth="1"/>
    <col min="6" max="6" width="14.85546875" customWidth="1"/>
    <col min="7" max="9" width="11.140625" customWidth="1"/>
  </cols>
  <sheetData>
    <row r="1" spans="1:11" ht="30" customHeight="1" x14ac:dyDescent="0.25">
      <c r="A1" t="s">
        <v>56</v>
      </c>
      <c r="B1" s="88"/>
      <c r="C1" s="88"/>
      <c r="D1" s="88"/>
      <c r="E1" s="88"/>
      <c r="F1" s="89"/>
      <c r="G1" s="89"/>
      <c r="H1" s="89"/>
      <c r="I1" s="89"/>
      <c r="J1" s="88"/>
    </row>
    <row r="2" spans="1:11" ht="30" customHeight="1" x14ac:dyDescent="0.25">
      <c r="B2" s="88"/>
      <c r="C2" s="88"/>
      <c r="D2" s="88"/>
      <c r="E2" s="88"/>
      <c r="F2" s="89"/>
      <c r="G2" s="89"/>
      <c r="H2" s="95"/>
      <c r="I2" s="89"/>
      <c r="J2" s="96"/>
      <c r="K2" s="128"/>
    </row>
    <row r="3" spans="1:11" x14ac:dyDescent="0.25">
      <c r="B3" s="88"/>
      <c r="C3" s="88"/>
      <c r="D3" s="88"/>
      <c r="E3" s="88"/>
      <c r="F3" s="89"/>
      <c r="G3" s="89"/>
      <c r="H3" s="96"/>
      <c r="I3" s="89"/>
      <c r="J3" s="96"/>
      <c r="K3" s="128"/>
    </row>
    <row r="4" spans="1:11" x14ac:dyDescent="0.25">
      <c r="B4" s="88"/>
      <c r="C4" s="88"/>
      <c r="D4" s="88"/>
      <c r="E4" s="88"/>
      <c r="F4" s="89"/>
      <c r="G4" s="89"/>
      <c r="H4" s="97"/>
      <c r="I4" s="89"/>
      <c r="J4" s="88"/>
      <c r="K4" s="88"/>
    </row>
    <row r="5" spans="1:11" ht="15.75" x14ac:dyDescent="0.25">
      <c r="A5" s="141" t="s">
        <v>57</v>
      </c>
      <c r="B5" s="142" t="s">
        <v>39</v>
      </c>
      <c r="C5" s="142" t="s">
        <v>40</v>
      </c>
      <c r="D5" s="142" t="s">
        <v>41</v>
      </c>
      <c r="E5" s="142" t="s">
        <v>42</v>
      </c>
      <c r="F5" s="143" t="s">
        <v>43</v>
      </c>
      <c r="G5" s="89"/>
      <c r="H5" s="147" t="s">
        <v>58</v>
      </c>
      <c r="I5" s="89"/>
      <c r="J5" s="101"/>
      <c r="K5" s="101"/>
    </row>
    <row r="6" spans="1:11" ht="15.75" x14ac:dyDescent="0.25">
      <c r="A6" s="144" t="s">
        <v>6</v>
      </c>
      <c r="B6" s="145">
        <v>0.3125</v>
      </c>
      <c r="C6" s="145"/>
      <c r="D6" s="145"/>
      <c r="E6" s="145">
        <v>0.64583333333333337</v>
      </c>
      <c r="F6" s="146">
        <f t="shared" ref="F6:F12" si="0">SUM(C6-B6)+(E6-D6)</f>
        <v>0.33333333333333337</v>
      </c>
      <c r="G6" s="107"/>
      <c r="H6" s="146">
        <v>0.31875000000000003</v>
      </c>
      <c r="I6" s="107"/>
      <c r="J6" s="101"/>
      <c r="K6" s="101"/>
    </row>
    <row r="7" spans="1:11" ht="15.75" x14ac:dyDescent="0.25">
      <c r="A7" s="144" t="s">
        <v>7</v>
      </c>
      <c r="B7" s="145">
        <v>0.3125</v>
      </c>
      <c r="C7" s="145"/>
      <c r="D7" s="145"/>
      <c r="E7" s="145">
        <v>0.64583333333333337</v>
      </c>
      <c r="F7" s="146">
        <f t="shared" si="0"/>
        <v>0.33333333333333337</v>
      </c>
      <c r="G7" s="107"/>
      <c r="H7" s="146">
        <v>0.31875000000000003</v>
      </c>
      <c r="I7" s="107"/>
      <c r="J7" s="101"/>
      <c r="K7" s="101"/>
    </row>
    <row r="8" spans="1:11" ht="15.75" x14ac:dyDescent="0.25">
      <c r="A8" s="144" t="s">
        <v>23</v>
      </c>
      <c r="B8" s="145">
        <v>0.3125</v>
      </c>
      <c r="C8" s="145"/>
      <c r="D8" s="145"/>
      <c r="E8" s="145">
        <v>0.64583333333333337</v>
      </c>
      <c r="F8" s="146">
        <f t="shared" si="0"/>
        <v>0.33333333333333337</v>
      </c>
      <c r="G8" s="107"/>
      <c r="H8" s="146">
        <v>0.31875000000000003</v>
      </c>
      <c r="I8" s="107"/>
      <c r="J8" s="101"/>
      <c r="K8" s="101"/>
    </row>
    <row r="9" spans="1:11" ht="15.75" x14ac:dyDescent="0.25">
      <c r="A9" s="144" t="s">
        <v>8</v>
      </c>
      <c r="B9" s="145">
        <v>0.3125</v>
      </c>
      <c r="C9" s="145"/>
      <c r="D9" s="145"/>
      <c r="E9" s="145">
        <v>0.64583333333333337</v>
      </c>
      <c r="F9" s="146">
        <f t="shared" si="0"/>
        <v>0.33333333333333337</v>
      </c>
      <c r="G9" s="107"/>
      <c r="H9" s="146">
        <v>0.31875000000000003</v>
      </c>
      <c r="I9" s="107"/>
      <c r="J9" s="114"/>
      <c r="K9" s="101"/>
    </row>
    <row r="10" spans="1:11" ht="20.100000000000001" customHeight="1" x14ac:dyDescent="0.25">
      <c r="A10" s="144" t="s">
        <v>9</v>
      </c>
      <c r="B10" s="145">
        <v>0.3125</v>
      </c>
      <c r="C10" s="145"/>
      <c r="D10" s="145"/>
      <c r="E10" s="145">
        <v>0.58333333333333337</v>
      </c>
      <c r="F10" s="146">
        <f t="shared" si="0"/>
        <v>0.27083333333333337</v>
      </c>
      <c r="G10" s="107"/>
      <c r="H10" s="146">
        <v>0.31875000000000003</v>
      </c>
      <c r="I10" s="107"/>
    </row>
    <row r="11" spans="1:11" ht="20.100000000000001" customHeight="1" x14ac:dyDescent="0.25">
      <c r="A11" s="144" t="s">
        <v>21</v>
      </c>
      <c r="B11" s="145"/>
      <c r="C11" s="145"/>
      <c r="D11" s="145"/>
      <c r="E11" s="145"/>
      <c r="F11" s="146">
        <f t="shared" si="0"/>
        <v>0</v>
      </c>
      <c r="G11" s="107"/>
      <c r="H11" s="95"/>
      <c r="I11" s="107"/>
    </row>
    <row r="12" spans="1:11" ht="20.100000000000001" customHeight="1" x14ac:dyDescent="0.25">
      <c r="A12" s="144" t="s">
        <v>22</v>
      </c>
      <c r="B12" s="145"/>
      <c r="C12" s="145"/>
      <c r="D12" s="145"/>
      <c r="E12" s="145"/>
      <c r="F12" s="146">
        <f t="shared" si="0"/>
        <v>0</v>
      </c>
      <c r="G12" s="107"/>
      <c r="I12" s="107"/>
    </row>
    <row r="13" spans="1:11" ht="20.100000000000001" customHeight="1" x14ac:dyDescent="0.25">
      <c r="B13" s="115"/>
      <c r="C13" s="116"/>
      <c r="D13" s="117"/>
      <c r="E13" s="115"/>
      <c r="F13" s="118"/>
      <c r="G13" s="107"/>
      <c r="H13" s="107"/>
      <c r="I13" s="107"/>
    </row>
    <row r="14" spans="1:11" ht="19.5" thickBot="1" x14ac:dyDescent="0.35">
      <c r="B14" s="119"/>
      <c r="C14" s="120"/>
      <c r="D14" s="120"/>
      <c r="E14" s="121" t="s">
        <v>45</v>
      </c>
      <c r="F14" s="122">
        <f>SUM(F6:F12)</f>
        <v>1.604166666666667</v>
      </c>
      <c r="G14" s="107"/>
      <c r="H14" s="122">
        <f>SUM(H6:H10)</f>
        <v>1.5937500000000002</v>
      </c>
      <c r="I14" s="107"/>
    </row>
    <row r="15" spans="1:11" x14ac:dyDescent="0.25">
      <c r="A15" s="92"/>
      <c r="B15" s="92"/>
      <c r="C15" s="92"/>
      <c r="D15" s="92"/>
      <c r="E15" s="92"/>
      <c r="F15" s="92"/>
      <c r="G15" s="92"/>
      <c r="H15" s="92"/>
      <c r="I15" s="92"/>
    </row>
    <row r="17" spans="1:14" x14ac:dyDescent="0.25">
      <c r="A17" t="s">
        <v>46</v>
      </c>
    </row>
    <row r="18" spans="1:14" x14ac:dyDescent="0.25">
      <c r="A18" s="124" t="s">
        <v>47</v>
      </c>
    </row>
    <row r="20" spans="1:14" x14ac:dyDescent="0.25">
      <c r="A20" t="s">
        <v>48</v>
      </c>
    </row>
    <row r="21" spans="1:14" x14ac:dyDescent="0.25">
      <c r="A21" s="125" t="s">
        <v>49</v>
      </c>
      <c r="B21" s="125" t="s">
        <v>50</v>
      </c>
      <c r="C21" s="125"/>
      <c r="D21" s="126"/>
    </row>
    <row r="22" spans="1:14" x14ac:dyDescent="0.25">
      <c r="A22" s="125" t="s">
        <v>51</v>
      </c>
      <c r="B22" s="125" t="s">
        <v>52</v>
      </c>
      <c r="C22" s="125"/>
    </row>
    <row r="24" spans="1:14" x14ac:dyDescent="0.25">
      <c r="A24" s="127" t="s">
        <v>53</v>
      </c>
    </row>
    <row r="25" spans="1:14" x14ac:dyDescent="0.25">
      <c r="A25" s="124" t="s">
        <v>54</v>
      </c>
    </row>
    <row r="26" spans="1:14" x14ac:dyDescent="0.25">
      <c r="A26" s="124"/>
      <c r="B26" s="124"/>
      <c r="J26" s="58">
        <v>0.3125</v>
      </c>
      <c r="K26" s="58">
        <v>0.57291666666666663</v>
      </c>
      <c r="M26" s="58">
        <v>0.61458333333333337</v>
      </c>
      <c r="N26" s="58">
        <v>0.65625</v>
      </c>
    </row>
    <row r="27" spans="1:14" x14ac:dyDescent="0.25">
      <c r="K27" s="58">
        <v>0.26041666666666669</v>
      </c>
    </row>
    <row r="33" spans="1:1" x14ac:dyDescent="0.25">
      <c r="A33" s="9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67ADD-B66A-471A-90C5-8729C4E8D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2026</vt:lpstr>
      <vt:lpstr>2005</vt:lpstr>
      <vt:lpstr>2024</vt:lpstr>
      <vt:lpstr>guardia y +1</vt:lpstr>
      <vt:lpstr>+2 y +3</vt:lpstr>
      <vt:lpstr>Personal</vt:lpstr>
    </vt:vector>
  </TitlesOfParts>
  <Company>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Prida Fernandez, Tiffany Eva</dc:creator>
  <cp:lastModifiedBy>Ignacio Vargas Llona</cp:lastModifiedBy>
  <cp:lastPrinted>2025-05-08T07:26:47Z</cp:lastPrinted>
  <dcterms:created xsi:type="dcterms:W3CDTF">2019-08-02T05:51:07Z</dcterms:created>
  <dcterms:modified xsi:type="dcterms:W3CDTF">2026-01-02T12:24:47Z</dcterms:modified>
</cp:coreProperties>
</file>